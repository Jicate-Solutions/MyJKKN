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23 Ideas" sheetId="1" state="visible" r:id="rId1"/>
    <sheet xmlns:r="http://schemas.openxmlformats.org/officeDocument/2006/relationships" name="By Filed By" sheetId="2" state="visible" r:id="rId2"/>
    <sheet xmlns:r="http://schemas.openxmlformats.org/officeDocument/2006/relationships" name="10 Distinct Ideas" sheetId="3" state="visible" r:id="rId3"/>
    <sheet xmlns:r="http://schemas.openxmlformats.org/officeDocument/2006/relationships" name="Reassignment" sheetId="4" state="visible" r:id="rId4"/>
    <sheet xmlns:r="http://schemas.openxmlformats.org/officeDocument/2006/relationships" name="MyJKKN Evidence" sheetId="5" state="visible" r:id="rId5"/>
  </sheets>
  <definedNames>
    <definedName name="_xlnm._FilterDatabase" localSheetId="0" hidden="1">'All 23 Ideas'!$A$1:$AB$24</definedName>
    <definedName name="_xlnm._FilterDatabase" localSheetId="1" hidden="1">'By Filed By'!$A$1:$K$14</definedName>
    <definedName name="_xlnm._FilterDatabase" localSheetId="2" hidden="1">'10 Distinct Ideas'!$A$1:$J$11</definedName>
    <definedName name="_xlnm._FilterDatabase" localSheetId="3" hidden="1">'Reassignment'!$A$1:$F$5</definedName>
    <definedName name="_xlnm._FilterDatabase" localSheetId="4" hidden="1">'MyJKKN Evidence'!$A$1:$E$43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11">
    <fill>
      <patternFill/>
    </fill>
    <fill>
      <patternFill patternType="gray125"/>
    </fill>
    <fill>
      <patternFill patternType="solid">
        <fgColor rgb="001F3864"/>
      </patternFill>
    </fill>
    <fill>
      <patternFill patternType="solid">
        <fgColor rgb="00E2EFDA"/>
      </patternFill>
    </fill>
    <fill>
      <patternFill patternType="solid">
        <fgColor rgb="00EDEDED"/>
      </patternFill>
    </fill>
    <fill>
      <patternFill patternType="solid">
        <fgColor rgb="00FCE4D6"/>
      </patternFill>
    </fill>
    <fill>
      <patternFill patternType="solid">
        <fgColor rgb="00DDEBF7"/>
      </patternFill>
    </fill>
    <fill>
      <patternFill patternType="solid">
        <fgColor rgb="00FFF2CC"/>
      </patternFill>
    </fill>
    <fill>
      <patternFill patternType="solid">
        <fgColor rgb="00E4DFEC"/>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0" borderId="1" applyAlignment="1" pivotButton="0" quotePrefix="0" xfId="0">
      <alignment horizontal="center" vertical="top"/>
    </xf>
    <xf numFmtId="0" fontId="3" fillId="10" borderId="1" pivotButton="0" quotePrefix="0" xfId="0"/>
    <xf numFmtId="0" fontId="3" fillId="10" borderId="1" applyAlignment="1" pivotButton="0" quotePrefix="0" xfId="0">
      <alignment horizontal="center" vertical="top"/>
    </xf>
    <xf numFmtId="0" fontId="3" fillId="0" borderId="1" pivotButton="0" quotePrefix="0" xfId="0"/>
    <xf numFmtId="0" fontId="2" fillId="0" borderId="0" pivotButton="0" quotePrefix="0" xfId="0"/>
    <xf numFmtId="0"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1" customWidth="1" min="3" max="3"/>
    <col width="20" customWidth="1" min="4" max="4"/>
    <col width="34" customWidth="1" min="5" max="5"/>
    <col width="15" customWidth="1" min="6" max="6"/>
    <col width="13" customWidth="1" min="7" max="7"/>
    <col width="8" customWidth="1" min="8" max="8"/>
    <col width="50" customWidth="1" min="9" max="9"/>
    <col width="50" customWidth="1" min="10" max="10"/>
    <col width="40" customWidth="1" min="11" max="11"/>
    <col width="40" customWidth="1" min="12" max="12"/>
    <col width="24" customWidth="1" min="13" max="13"/>
    <col width="8" customWidth="1" min="14" max="14"/>
    <col width="8" customWidth="1" min="15" max="15"/>
    <col width="10" customWidth="1" min="16" max="16"/>
    <col width="10" customWidth="1" min="17" max="17"/>
    <col width="36" customWidth="1" min="18" max="18"/>
    <col width="7" customWidth="1" min="19" max="19"/>
    <col width="34" customWidth="1" min="20" max="20"/>
    <col width="14" customWidth="1" min="21" max="21"/>
    <col width="14" customWidth="1" min="22" max="22"/>
    <col width="16" customWidth="1" min="23" max="23"/>
    <col width="30" customWidth="1" min="24" max="24"/>
    <col width="22" customWidth="1" min="25" max="25"/>
    <col width="30" customWidth="1" min="26" max="26"/>
    <col width="60" customWidth="1" min="27" max="27"/>
    <col width="55" customWidth="1" min="28" max="28"/>
  </cols>
  <sheetData>
    <row r="1" ht="32" customHeight="1">
      <c r="A1" s="1" t="inlineStr">
        <is>
          <t>#</t>
        </is>
      </c>
      <c r="B1" s="1" t="inlineStr">
        <is>
          <t>Idea ID</t>
        </is>
      </c>
      <c r="C1" s="1" t="inlineStr">
        <is>
          <t>Filed on</t>
        </is>
      </c>
      <c r="D1" s="1" t="inlineStr">
        <is>
          <t>Filed by</t>
        </is>
      </c>
      <c r="E1" s="1" t="inlineStr">
        <is>
          <t>Title on card</t>
        </is>
      </c>
      <c r="F1" s="1" t="inlineStr">
        <is>
          <t>Board area</t>
        </is>
      </c>
      <c r="G1" s="1" t="inlineStr">
        <is>
          <t>Status</t>
        </is>
      </c>
      <c r="H1" s="1" t="inlineStr">
        <is>
          <t>Urgent</t>
        </is>
      </c>
      <c r="I1" s="1" t="inlineStr">
        <is>
          <t>The problem</t>
        </is>
      </c>
      <c r="J1" s="1" t="inlineStr">
        <is>
          <t>Proposed fix</t>
        </is>
      </c>
      <c r="K1" s="1" t="inlineStr">
        <is>
          <t>Expected impact</t>
        </is>
      </c>
      <c r="L1" s="1" t="inlineStr">
        <is>
          <t>Evidence - which data shows it</t>
        </is>
      </c>
      <c r="M1" s="1" t="inlineStr">
        <is>
          <t>Currently assigned to</t>
        </is>
      </c>
      <c r="N1" s="1" t="inlineStr">
        <is>
          <t>AI rank</t>
        </is>
      </c>
      <c r="O1" s="1" t="inlineStr">
        <is>
          <t>AI impact</t>
        </is>
      </c>
      <c r="P1" s="1" t="inlineStr">
        <is>
          <t>AI feasibility</t>
        </is>
      </c>
      <c r="Q1" s="1" t="inlineStr">
        <is>
          <t>AI strategic fit</t>
        </is>
      </c>
      <c r="R1" s="1" t="inlineStr">
        <is>
          <t>AI reason</t>
        </is>
      </c>
      <c r="S1" s="1" t="inlineStr">
        <is>
          <t>Group</t>
        </is>
      </c>
      <c r="T1" s="1" t="inlineStr">
        <is>
          <t>Distinct idea</t>
        </is>
      </c>
      <c r="U1" s="1" t="inlineStr">
        <is>
          <t>Card type</t>
        </is>
      </c>
      <c r="V1" s="1" t="inlineStr">
        <is>
          <t>Duplicate of (ID)</t>
        </is>
      </c>
      <c r="W1" s="1" t="inlineStr">
        <is>
          <t>Reassign to</t>
        </is>
      </c>
      <c r="X1" s="1" t="inlineStr">
        <is>
          <t>Owner to reassign to</t>
        </is>
      </c>
      <c r="Y1" s="1" t="inlineStr">
        <is>
          <t>Recommended action</t>
        </is>
      </c>
      <c r="Z1" s="1" t="inlineStr">
        <is>
          <t>Existing MyJKKN module</t>
        </is>
      </c>
      <c r="AA1" s="1" t="inlineStr">
        <is>
          <t>MyJKKN solution / suggestion</t>
        </is>
      </c>
      <c r="AB1" s="1" t="inlineStr">
        <is>
          <t>Review note (ready to paste)</t>
        </is>
      </c>
    </row>
    <row r="2" ht="150" customHeight="1">
      <c r="A2" s="2" t="n">
        <v>1</v>
      </c>
      <c r="B2" s="2" t="inlineStr">
        <is>
          <t>c4ebb142</t>
        </is>
      </c>
      <c r="C2" s="2" t="inlineStr">
        <is>
          <t>2026-08-04</t>
        </is>
      </c>
      <c r="D2" s="3" t="inlineStr">
        <is>
          <t>SAVITHA K</t>
        </is>
      </c>
      <c r="E2" s="4" t="inlineStr">
        <is>
          <t>Laboratory Improvement Initiative</t>
        </is>
      </c>
      <c r="F2" s="4" t="inlineStr">
        <is>
          <t>COE / Academic</t>
        </is>
      </c>
      <c r="G2" s="4" t="inlineStr">
        <is>
          <t>Under Review</t>
        </is>
      </c>
      <c r="H2" s="2" t="inlineStr">
        <is>
          <t>No</t>
        </is>
      </c>
      <c r="I2" s="4" t="inlineStr">
        <is>
          <t>The laboratory contains several expired chemicals and materials that should be removed and disposed of properly. Additionally, reorganizing the laboratory layout and improving the room arrangement would create a safer, cleaner, and more efficient working environment."</t>
        </is>
      </c>
      <c r="J2" s="4" t="inlineStr">
        <is>
          <t>Remove and properly dispose of all expired chemicals and materials according to safety guidelines. Reorganize the laboratory layout by arranging equipment and materials systematically, improving storage, and optimizing the available workspace for better safety and efficiency.</t>
        </is>
      </c>
      <c r="K2" s="4" t="inlineStr">
        <is>
          <t>Proper disposal of expired materials and reorganization of the laboratory will improve safety, cleanliness, space utilization, workflow efficiency, and compliance with laboratory standards.</t>
        </is>
      </c>
      <c r="L2" s="4" t="inlineStr">
        <is>
          <t>The observations and recommendations are based on laboratory analysis, site inspection, and information gathered during the assessment.</t>
        </is>
      </c>
      <c r="M2" s="4" t="inlineStr">
        <is>
          <t>VISWANATHAN S, BOOBALAN A</t>
        </is>
      </c>
      <c r="N2" s="2" t="n">
        <v>9</v>
      </c>
      <c r="O2" s="2" t="n">
        <v>4</v>
      </c>
      <c r="P2" s="2" t="n">
        <v>4</v>
      </c>
      <c r="Q2" s="2" t="n">
        <v>4</v>
      </c>
      <c r="R2" s="4" t="inlineStr">
        <is>
          <t>Disposing of expired chemicals is a safety and compliance matter and cheap to do.</t>
        </is>
      </c>
      <c r="S2" s="2" t="inlineStr">
        <is>
          <t>F</t>
        </is>
      </c>
      <c r="T2" s="4" t="inlineStr">
        <is>
          <t>Lab - dispose expired chemicals, reorganise lab</t>
        </is>
      </c>
      <c r="U2" s="5" t="inlineStr">
        <is>
          <t>Master</t>
        </is>
      </c>
      <c r="V2" s="4" t="inlineStr"/>
      <c r="W2" s="6" t="inlineStr">
        <is>
          <t>Pharmacy</t>
        </is>
      </c>
      <c r="X2" s="4" t="inlineStr">
        <is>
          <t>Rajkumar J</t>
        </is>
      </c>
      <c r="Y2" s="4" t="inlineStr">
        <is>
          <t>Approve</t>
        </is>
      </c>
      <c r="Z2" s="4" t="inlineStr">
        <is>
          <t>Inventory (/ims) - expiry tracking</t>
        </is>
      </c>
      <c r="AA2" s="4" t="inlineStr">
        <is>
          <t>Physical disposal is a safety action for the Pharmacy principal. In MyJKKN: track chemical expiry in Inventory. 3 JKKN Pharmacy batches are already past expiry and still in stock.</t>
        </is>
      </c>
      <c r="AB2" s="4" t="inlineStr">
        <is>
          <t>Approved. Dispose of expired chemicals now; chemical expiry will be tracked in Inventory.</t>
        </is>
      </c>
    </row>
    <row r="3" ht="150" customHeight="1">
      <c r="A3" s="2" t="n">
        <v>2</v>
      </c>
      <c r="B3" s="2" t="inlineStr">
        <is>
          <t>04c4c414</t>
        </is>
      </c>
      <c r="C3" s="2" t="inlineStr">
        <is>
          <t>2026-08-04</t>
        </is>
      </c>
      <c r="D3" s="3" t="inlineStr">
        <is>
          <t>SELVAMANI S</t>
        </is>
      </c>
      <c r="E3" s="4" t="inlineStr">
        <is>
          <t>JKKN COLLEGE OF PHARMACY</t>
        </is>
      </c>
      <c r="F3" s="4" t="inlineStr">
        <is>
          <t>COE / Academic</t>
        </is>
      </c>
      <c r="G3" s="4" t="inlineStr">
        <is>
          <t>Under Review</t>
        </is>
      </c>
      <c r="H3" s="2" t="inlineStr">
        <is>
          <t>No</t>
        </is>
      </c>
      <c r="I3" s="4" t="inlineStr">
        <is>
          <t>The laboratory contains several expired chemicals and materials that should be removed and disposed of properly. Additionally, reorganizing the laboratory layout and improving the room arrangement would create a safer, cleaner, and more efficient working environment."</t>
        </is>
      </c>
      <c r="J3" s="4" t="inlineStr">
        <is>
          <t>Remove and properly dispose of all expired chemicals and materials according to safety guidelines. Reorganize the laboratory layout by arranging equipment and materials systematically, improving storage, and optimizing the available workspace for better safety and efficiency.</t>
        </is>
      </c>
      <c r="K3" s="4" t="inlineStr">
        <is>
          <t>Proper disposal of expired materials and reorganization of the laboratory will improve safety, cleanliness, space utilization, workflow efficiency, and compliance with laboratory standards.</t>
        </is>
      </c>
      <c r="L3" s="4" t="inlineStr">
        <is>
          <t>The observations and recommendations are based on laboratory analysis, site inspection, and information gathered during the assessment.</t>
        </is>
      </c>
      <c r="M3" s="4" t="inlineStr">
        <is>
          <t>VISWANATHAN S, BOOBALAN A</t>
        </is>
      </c>
      <c r="N3" s="2" t="n">
        <v>10</v>
      </c>
      <c r="O3" s="2" t="n">
        <v>4</v>
      </c>
      <c r="P3" s="2" t="n">
        <v>4</v>
      </c>
      <c r="Q3" s="2" t="n">
        <v>4</v>
      </c>
      <c r="R3" s="4" t="inlineStr">
        <is>
          <t>Duplicate of the lab safety and disposal idea; same safety and compliance value.</t>
        </is>
      </c>
      <c r="S3" s="2" t="inlineStr">
        <is>
          <t>F</t>
        </is>
      </c>
      <c r="T3" s="4" t="inlineStr">
        <is>
          <t>Lab - dispose expired chemicals, reorganise lab</t>
        </is>
      </c>
      <c r="U3" s="7" t="inlineStr">
        <is>
          <t>Duplicate</t>
        </is>
      </c>
      <c r="V3" s="4" t="inlineStr">
        <is>
          <t>c4ebb142</t>
        </is>
      </c>
      <c r="W3" s="6" t="inlineStr">
        <is>
          <t>Pharmacy</t>
        </is>
      </c>
      <c r="X3" s="4" t="inlineStr">
        <is>
          <t>Rajkumar J</t>
        </is>
      </c>
      <c r="Y3" s="4" t="inlineStr">
        <is>
          <t>Close as duplicate</t>
        </is>
      </c>
      <c r="Z3" s="4" t="inlineStr">
        <is>
          <t>Inventory (/ims) - expiry tracking</t>
        </is>
      </c>
      <c r="AA3" s="4" t="inlineStr">
        <is>
          <t>Physical disposal is a safety action for the Pharmacy principal. In MyJKKN: track chemical expiry in Inventory. 3 JKKN Pharmacy batches are already past expiry and still in stock.</t>
        </is>
      </c>
      <c r="AB3" s="4" t="inlineStr">
        <is>
          <t>Same proposal as c4ebb142, filed earlier. Closing this copy; you have been added as a contributor on the original.</t>
        </is>
      </c>
    </row>
    <row r="4" ht="150" customHeight="1">
      <c r="A4" s="2" t="n">
        <v>3</v>
      </c>
      <c r="B4" s="2" t="inlineStr">
        <is>
          <t>98a8204e</t>
        </is>
      </c>
      <c r="C4" s="2" t="inlineStr">
        <is>
          <t>2026-08-06</t>
        </is>
      </c>
      <c r="D4" s="3" t="inlineStr">
        <is>
          <t>MOURIESWARAN A</t>
        </is>
      </c>
      <c r="E4" s="4" t="inlineStr">
        <is>
          <t>Reduce Waiting Time for Certificate, Transcript, and Mark Sheet Processing</t>
        </is>
      </c>
      <c r="F4" s="4" t="inlineStr">
        <is>
          <t>COE / Academic</t>
        </is>
      </c>
      <c r="G4" s="4" t="inlineStr">
        <is>
          <t>Under Review</t>
        </is>
      </c>
      <c r="H4" s="2" t="inlineStr">
        <is>
          <t>No</t>
        </is>
      </c>
      <c r="I4" s="4" t="inlineStr">
        <is>
          <t>Students experience long waiting times to receive certificates, transcripts, and mark sheets due to manual processing, lack of status updates, and delays in approvals. This affects students applying for higher studies, placements, and jobs.</t>
        </is>
      </c>
      <c r="J4" s="4" t="inlineStr">
        <is>
          <t>Implement an online application and tracking system with defined processing timelines. Digitize records, automate approval workflows, and notify students through SMS/email at each stage of processing.</t>
        </is>
      </c>
      <c r="K4" s="4" t="inlineStr">
        <is>
          <t>Reduced waiting time and office visits.Improved student satisfaction</t>
        </is>
      </c>
      <c r="L4" s="4" t="inlineStr">
        <is>
          <t>Frequent student complaints regarding delays</t>
        </is>
      </c>
      <c r="M4" s="4" t="inlineStr">
        <is>
          <t>VISWANATHAN S, BOOBALAN A</t>
        </is>
      </c>
      <c r="N4" s="2" t="n">
        <v>14</v>
      </c>
      <c r="O4" s="2" t="n">
        <v>4</v>
      </c>
      <c r="P4" s="2" t="n">
        <v>4</v>
      </c>
      <c r="Q4" s="2" t="n">
        <v>4</v>
      </c>
      <c r="R4" s="4" t="inlineStr">
        <is>
          <t>Certificate tracking resolves frequent complaints; duplicate of the urgent version.</t>
        </is>
      </c>
      <c r="S4" s="2" t="inlineStr">
        <is>
          <t>A</t>
        </is>
      </c>
      <c r="T4" s="4" t="inlineStr">
        <is>
          <t>Certificate / transcript / mark sheet delays</t>
        </is>
      </c>
      <c r="U4" s="5" t="inlineStr">
        <is>
          <t>Master</t>
        </is>
      </c>
      <c r="V4" s="4" t="inlineStr"/>
      <c r="W4" s="8" t="inlineStr">
        <is>
          <t>COE</t>
        </is>
      </c>
      <c r="X4" s="4" t="inlineStr">
        <is>
          <t>No COE owner on the board (coe role: Silambarasan V, COE Official, COE JKKNCAS / S. Umavathi)</t>
        </is>
      </c>
      <c r="Y4" s="4" t="inlineStr">
        <is>
          <t>Approve</t>
        </is>
      </c>
      <c r="Z4" s="4" t="inlineStr">
        <is>
          <t>Service Requests (/service-requests)</t>
        </is>
      </c>
      <c r="AA4" s="4" t="inlineStr">
        <is>
          <t>Already live: online request, approval workflow, timeline, Bonafide / Course Completion PDF. Gaps: (1) record fulfilment - only 4 of 988 marked fulfilled; (2) notify the learner on approved / ready / rejected; (3) turnaround target + overdue filter; (4) enable certificate PDFs on all live certificate types; (5) add COE service types for transcript, duplicate / consolidated mark sheet, provisional certificate.</t>
        </is>
      </c>
      <c r="AB4" s="4" t="inlineStr">
        <is>
          <t>Confirmed by MyJKKN data: 562 approved certificate requests were never marked fulfilled, 536 of them older than 7 days. Approved for fulfilment tracking, learner notifications, turnaround targets and new COE service types.</t>
        </is>
      </c>
    </row>
    <row r="5" ht="150" customHeight="1">
      <c r="A5" s="2" t="n">
        <v>4</v>
      </c>
      <c r="B5" s="2" t="inlineStr">
        <is>
          <t>dd3afcf9</t>
        </is>
      </c>
      <c r="C5" s="2" t="inlineStr">
        <is>
          <t>2026-08-10</t>
        </is>
      </c>
      <c r="D5" s="3" t="inlineStr">
        <is>
          <t>VAISHNAVI P</t>
        </is>
      </c>
      <c r="E5" s="4" t="inlineStr">
        <is>
          <t>Dental</t>
        </is>
      </c>
      <c r="F5" s="4" t="inlineStr">
        <is>
          <t>COE / Academic</t>
        </is>
      </c>
      <c r="G5" s="4" t="inlineStr">
        <is>
          <t>Under Review</t>
        </is>
      </c>
      <c r="H5" s="2" t="inlineStr">
        <is>
          <t>Yes</t>
        </is>
      </c>
      <c r="I5" s="4" t="inlineStr">
        <is>
          <t>Delay in patient history and records, heavy patient load ,space and infrastructure issues, poor department coordination, software problems, and shortage of required equipment.</t>
        </is>
      </c>
      <c r="J5" s="4" t="inlineStr">
        <is>
          <t>Improve digital coordination, standardized procedures, upgrade clinic facilities, service equipment and provide required machine and instruments</t>
        </is>
      </c>
      <c r="K5" s="4" t="inlineStr">
        <is>
          <t>Faster patient care,better coordination, improved student experience and better quality of treatment.</t>
        </is>
      </c>
      <c r="L5" s="4" t="inlineStr">
        <is>
          <t>Patient feedback, staff feedback, records, equipment issues, and clinical observation.</t>
        </is>
      </c>
      <c r="M5" s="4" t="inlineStr">
        <is>
          <t>VISWANATHAN S, BOOBALAN A</t>
        </is>
      </c>
      <c r="N5" s="2" t="n">
        <v>22</v>
      </c>
      <c r="O5" s="2" t="n">
        <v>4</v>
      </c>
      <c r="P5" s="2" t="n">
        <v>2</v>
      </c>
      <c r="Q5" s="2" t="n">
        <v>4</v>
      </c>
      <c r="R5" s="4" t="inlineStr">
        <is>
          <t>Dental issues are broad and costly to fix; feedback evidence and urgent flag.</t>
        </is>
      </c>
      <c r="S5" s="2" t="inlineStr">
        <is>
          <t>B</t>
        </is>
      </c>
      <c r="T5" s="4" t="inlineStr">
        <is>
          <t>Dental - records delay, patient load, space, equipment (broad)</t>
        </is>
      </c>
      <c r="U5" s="5" t="inlineStr">
        <is>
          <t>Master</t>
        </is>
      </c>
      <c r="V5" s="4" t="inlineStr"/>
      <c r="W5" s="9" t="inlineStr">
        <is>
          <t>Dental Hospital</t>
        </is>
      </c>
      <c r="X5" s="4" t="inlineStr">
        <is>
          <t>Dhinesh Kumar C</t>
        </is>
      </c>
      <c r="Y5" s="4" t="inlineStr">
        <is>
          <t>Send back to split</t>
        </is>
      </c>
      <c r="Z5" s="4" t="inlineStr">
        <is>
          <t>None (no patient module)</t>
        </is>
      </c>
      <c r="AA5" s="4" t="inlineStr">
        <is>
          <t>Too broad to build. Ask the author to re-file as one card per problem with one number each. Appointment delays are covered by c913913b and medicine expiry by 3aad071d.</t>
        </is>
      </c>
      <c r="AB5" s="4" t="inlineStr">
        <is>
          <t>Too broad to act on. Please re-file as separate cards - one problem, one number each.</t>
        </is>
      </c>
    </row>
    <row r="6" ht="150" customHeight="1">
      <c r="A6" s="2" t="n">
        <v>5</v>
      </c>
      <c r="B6" s="2" t="inlineStr">
        <is>
          <t>992e5458</t>
        </is>
      </c>
      <c r="C6" s="2" t="inlineStr">
        <is>
          <t>2026-08-10</t>
        </is>
      </c>
      <c r="D6" s="3" t="inlineStr">
        <is>
          <t>SHRIYA JULIET D</t>
        </is>
      </c>
      <c r="E6" s="4" t="inlineStr">
        <is>
          <t>Procurement</t>
        </is>
      </c>
      <c r="F6" s="4" t="inlineStr">
        <is>
          <t>COE / Academic</t>
        </is>
      </c>
      <c r="G6" s="4" t="inlineStr">
        <is>
          <t>Under Review</t>
        </is>
      </c>
      <c r="H6" s="2" t="inlineStr">
        <is>
          <t>No</t>
        </is>
      </c>
      <c r="I6" s="4" t="inlineStr">
        <is>
          <t>We observed that procurement involves multiple steps, such as identifying requirements, getting quotations, purchasing, receiving, and maintaining materials. Proper coordination is needed to avoid delays and shortages.</t>
        </is>
      </c>
      <c r="J6" s="4" t="inlineStr">
        <is>
          <t>We propose maintaining a systematic procurement record for requirements, quotations, suppliers, purchases, bills, and stock. Materials should be categorized and stored properly after receiving.</t>
        </is>
      </c>
      <c r="K6" s="4" t="inlineStr">
        <is>
          <t>This will help reduce procurement delays, prevent material shortages and wastage, and improve stock management. It will also make the purchasing process more organized and transparent.</t>
        </is>
      </c>
      <c r="L6" s="4" t="inlineStr">
        <is>
          <t>The improvement can be measured using purchase records, quotation details, stock registers, bills, procurement time, and quantity of materials received. Comparing these records will show the effectiveness of the procurement process</t>
        </is>
      </c>
      <c r="M6" s="4" t="inlineStr">
        <is>
          <t>VISWANATHAN S, BOOBALAN A</t>
        </is>
      </c>
      <c r="N6" s="2" t="n">
        <v>57</v>
      </c>
      <c r="O6" s="2" t="n">
        <v>3</v>
      </c>
      <c r="P6" s="2" t="n">
        <v>3</v>
      </c>
      <c r="Q6" s="2" t="n">
        <v>3</v>
      </c>
      <c r="R6" s="4" t="inlineStr">
        <is>
          <t>Systematic procurement records help, but the proposal is generic.</t>
        </is>
      </c>
      <c r="S6" s="2" t="inlineStr">
        <is>
          <t>J</t>
        </is>
      </c>
      <c r="T6" s="4" t="inlineStr">
        <is>
          <t>Procurement - digital purchase request, approvals, vendor list</t>
        </is>
      </c>
      <c r="U6" s="7" t="inlineStr">
        <is>
          <t>Weaker version</t>
        </is>
      </c>
      <c r="V6" s="4" t="inlineStr">
        <is>
          <t>7793da9e</t>
        </is>
      </c>
      <c r="W6" s="10" t="inlineStr">
        <is>
          <t>Procurement</t>
        </is>
      </c>
      <c r="X6" s="4" t="inlineStr">
        <is>
          <t>Salini P</t>
        </is>
      </c>
      <c r="Y6" s="4" t="inlineStr">
        <is>
          <t>Merge into master</t>
        </is>
      </c>
      <c r="Z6" s="4" t="inlineStr">
        <is>
          <t>Procurement (/procurement)</t>
        </is>
      </c>
      <c r="AA6" s="4" t="inlineStr">
        <is>
          <t>Already live: 38 requests, 31 RFQs, 36 quotations, 15 purchase orders. Gaps: 0 goods receipts and 0 vendor ratings. Make GRN mandatory to close a PO, start vendor ratings, enforce 3 quotations above a set amount, use reorder levels.</t>
        </is>
      </c>
      <c r="AB6" s="4" t="inlineStr">
        <is>
          <t>Same proposal as 7793da9e, filed earlier. Closing this copy; you have been added as a contributor on the original.</t>
        </is>
      </c>
    </row>
    <row r="7" ht="150" customHeight="1">
      <c r="A7" s="2" t="n">
        <v>6</v>
      </c>
      <c r="B7" s="2" t="inlineStr">
        <is>
          <t>89570ea6</t>
        </is>
      </c>
      <c r="C7" s="2" t="inlineStr">
        <is>
          <t>2026-08-10</t>
        </is>
      </c>
      <c r="D7" s="3" t="inlineStr">
        <is>
          <t>SRIKANTH K</t>
        </is>
      </c>
      <c r="E7" s="4" t="inlineStr">
        <is>
          <t>Dental</t>
        </is>
      </c>
      <c r="F7" s="4" t="inlineStr">
        <is>
          <t>COE / Academic</t>
        </is>
      </c>
      <c r="G7" s="4" t="inlineStr">
        <is>
          <t>Under Review</t>
        </is>
      </c>
      <c r="H7" s="2" t="inlineStr">
        <is>
          <t>No</t>
        </is>
      </c>
      <c r="I7" s="4" t="inlineStr">
        <is>
          <t>Delay in patient history and records, heavy patient load, space and infrastructure issues, poor department coordination, software problems, and shortage of required equipment.</t>
        </is>
      </c>
      <c r="J7" s="4" t="inlineStr">
        <is>
          <t>Improve digital coordination, standardize procedures, upgrade clinic facilities, service equipment, and provide required machines and instruments.</t>
        </is>
      </c>
      <c r="K7" s="4" t="inlineStr">
        <is>
          <t>Faster patient care, better coordination, improved student experience, and better quality of treatment.</t>
        </is>
      </c>
      <c r="L7" s="4" t="inlineStr">
        <is>
          <t>Patient feedback, staff feedback, records, equipment issues, and clinic observations.</t>
        </is>
      </c>
      <c r="M7" s="4" t="inlineStr">
        <is>
          <t>VISWANATHAN S, BOOBALAN A</t>
        </is>
      </c>
      <c r="N7" s="2" t="n">
        <v>45</v>
      </c>
      <c r="O7" s="2" t="n">
        <v>3</v>
      </c>
      <c r="P7" s="2" t="n">
        <v>2</v>
      </c>
      <c r="Q7" s="2" t="n">
        <v>4</v>
      </c>
      <c r="R7" s="4" t="inlineStr">
        <is>
          <t>Broad, costly dental improvements; evidence is generic.</t>
        </is>
      </c>
      <c r="S7" s="2" t="inlineStr">
        <is>
          <t>B</t>
        </is>
      </c>
      <c r="T7" s="4" t="inlineStr">
        <is>
          <t>Dental - records delay, patient load, space, equipment (broad)</t>
        </is>
      </c>
      <c r="U7" s="7" t="inlineStr">
        <is>
          <t>Duplicate</t>
        </is>
      </c>
      <c r="V7" s="4" t="inlineStr">
        <is>
          <t>dd3afcf9</t>
        </is>
      </c>
      <c r="W7" s="9" t="inlineStr">
        <is>
          <t>Dental Hospital</t>
        </is>
      </c>
      <c r="X7" s="4" t="inlineStr">
        <is>
          <t>Dhinesh Kumar C</t>
        </is>
      </c>
      <c r="Y7" s="4" t="inlineStr">
        <is>
          <t>Close as duplicate</t>
        </is>
      </c>
      <c r="Z7" s="4" t="inlineStr">
        <is>
          <t>None (no patient module)</t>
        </is>
      </c>
      <c r="AA7" s="4" t="inlineStr">
        <is>
          <t>Too broad to build. Ask the author to re-file as one card per problem with one number each. Appointment delays are covered by c913913b and medicine expiry by 3aad071d.</t>
        </is>
      </c>
      <c r="AB7" s="4" t="inlineStr">
        <is>
          <t>Same proposal as dd3afcf9, filed earlier. Closing this copy; you have been added as a contributor on the original.</t>
        </is>
      </c>
    </row>
    <row r="8" ht="150" customHeight="1">
      <c r="A8" s="2" t="n">
        <v>7</v>
      </c>
      <c r="B8" s="2" t="inlineStr">
        <is>
          <t>f255de95</t>
        </is>
      </c>
      <c r="C8" s="2" t="inlineStr">
        <is>
          <t>2026-08-18</t>
        </is>
      </c>
      <c r="D8" s="3" t="inlineStr">
        <is>
          <t>SAVITHA K</t>
        </is>
      </c>
      <c r="E8" s="4" t="inlineStr">
        <is>
          <t>Impact of Improved Laboratory Infrastructure on Student Satisfaction and Institutional Growth</t>
        </is>
      </c>
      <c r="F8" s="4" t="inlineStr">
        <is>
          <t>COE / Academic</t>
        </is>
      </c>
      <c r="G8" s="4" t="inlineStr">
        <is>
          <t>Under Review</t>
        </is>
      </c>
      <c r="H8" s="2" t="inlineStr">
        <is>
          <t>No</t>
        </is>
      </c>
      <c r="I8" s="4" t="inlineStr">
        <is>
          <t>Lab room appearance, flooring, and fan facilities are not up to the expected standard. Due to these inadequate facilities, students may feel uncomfortable while using the laboratory, which can affect their learning experience and overall satisfaction.</t>
        </is>
      </c>
      <c r="J8" s="4" t="inlineStr">
        <is>
          <t>The laboratory can be improved by providing a clean and attractive ambience, proper flooring, adequate fans, good lighting, and better overall appearance. A comfortable and well-maintained laboratory will improve students’ satisfaction and create a positive impression of the college. Students may also share their positive experience with others, which can support the college’s reputation and admissions. In the long term, the institution can recover infrastructure-related investments through appropriate fee planning, subject to applicable regulations, while gaining benefits through improved student satisfaction, admissions, and institutional image.</t>
        </is>
      </c>
      <c r="K8" s="4" t="inlineStr">
        <is>
          <t>Improved laboratory infrastructure will provide students with a comfortable and attractive learning environment. This can increase student satisfaction, create positive word-of-mouth publicity, improve the college’s reputation, and attract more admissions, benefiting the institution’s overall growth.</t>
        </is>
      </c>
      <c r="L8" s="4" t="inlineStr">
        <is>
          <t>The laboratory was directly visited and the existing infrastructure and facilities were observed. Information regarding the room condition, flooring, fan facilities, and overall ambience was also collected through direct observation and interaction with the concerned staff.</t>
        </is>
      </c>
      <c r="M8" s="4" t="inlineStr">
        <is>
          <t>VISWANATHAN S, BOOBALAN A</t>
        </is>
      </c>
      <c r="N8" s="2" t="n">
        <v>59</v>
      </c>
      <c r="O8" s="2" t="n">
        <v>2</v>
      </c>
      <c r="P8" s="2" t="n">
        <v>3</v>
      </c>
      <c r="Q8" s="2" t="n">
        <v>3</v>
      </c>
      <c r="R8" s="4" t="inlineStr">
        <is>
          <t>Cosmetic lab upgrades; benefits are speculative and observation-based.</t>
        </is>
      </c>
      <c r="S8" s="2" t="inlineStr">
        <is>
          <t>G</t>
        </is>
      </c>
      <c r="T8" s="4" t="inlineStr">
        <is>
          <t>Lab - flooring, fans, lighting, ambience</t>
        </is>
      </c>
      <c r="U8" s="5" t="inlineStr">
        <is>
          <t>Master</t>
        </is>
      </c>
      <c r="V8" s="4" t="inlineStr"/>
      <c r="W8" s="6" t="inlineStr">
        <is>
          <t>Pharmacy</t>
        </is>
      </c>
      <c r="X8" s="4" t="inlineStr">
        <is>
          <t>Rajkumar J</t>
        </is>
      </c>
      <c r="Y8" s="4" t="inlineStr">
        <is>
          <t>Hold for details</t>
        </is>
      </c>
      <c r="Z8" s="4" t="inlineStr">
        <is>
          <t>Resource Management (/resource-management) - maintenance</t>
        </is>
      </c>
      <c r="AA8" s="4" t="inlineStr">
        <is>
          <t>Facilities work, not software. Log as a maintenance job once the lab is named, photographed and costed.</t>
        </is>
      </c>
      <c r="AB8" s="4" t="inlineStr">
        <is>
          <t>Please name the lab and add photos and a cost estimate.</t>
        </is>
      </c>
    </row>
    <row r="9" ht="150" customHeight="1">
      <c r="A9" s="2" t="n">
        <v>8</v>
      </c>
      <c r="B9" s="2" t="inlineStr">
        <is>
          <t>3aad071d</t>
        </is>
      </c>
      <c r="C9" s="2" t="inlineStr">
        <is>
          <t>2026-08-18</t>
        </is>
      </c>
      <c r="D9" s="3" t="inlineStr">
        <is>
          <t>SHRIYA JULIET D</t>
        </is>
      </c>
      <c r="E9" s="4" t="inlineStr">
        <is>
          <t>Dental hospital</t>
        </is>
      </c>
      <c r="F9" s="4" t="inlineStr">
        <is>
          <t>COE / Academic</t>
        </is>
      </c>
      <c r="G9" s="4" t="inlineStr">
        <is>
          <t>Under Review</t>
        </is>
      </c>
      <c r="H9" s="2" t="inlineStr">
        <is>
          <t>Yes</t>
        </is>
      </c>
      <c r="I9" s="4" t="inlineStr">
        <is>
          <t>Medicine expiry dates and stock details may not always be updated regularly. This can lead to expired medicines, stock wastage, or difficulty in identifying available medicines.</t>
        </is>
      </c>
      <c r="J9" s="4" t="inlineStr">
        <is>
          <t>Maintain an updated medicine stock register with expiry dates and use a regular checking system. Near-expiry medicines can be identified and managed on time.</t>
        </is>
      </c>
      <c r="K9" s="4" t="inlineStr">
        <is>
          <t>This will reduce medicine wastage and improve stock accuracy. It will also ensure that only safe and valid medicines are available for patients.</t>
        </is>
      </c>
      <c r="L9" s="4" t="inlineStr">
        <is>
          <t>Stock register, expiry-date records, purchase records, and the number of expired or near-expiry medicines can be used as evidence.</t>
        </is>
      </c>
      <c r="M9" s="4" t="inlineStr">
        <is>
          <t>VISWANATHAN S, BOOBALAN A</t>
        </is>
      </c>
      <c r="N9" s="2" t="n">
        <v>21</v>
      </c>
      <c r="O9" s="2" t="n">
        <v>3</v>
      </c>
      <c r="P9" s="2" t="n">
        <v>5</v>
      </c>
      <c r="Q9" s="2" t="n">
        <v>4</v>
      </c>
      <c r="R9" s="4" t="inlineStr">
        <is>
          <t>Medicine expiry register is simple, low cost and improves patient safety.</t>
        </is>
      </c>
      <c r="S9" s="2" t="inlineStr">
        <is>
          <t>E</t>
        </is>
      </c>
      <c r="T9" s="4" t="inlineStr">
        <is>
          <t>Dental - medicine stock + expiry register</t>
        </is>
      </c>
      <c r="U9" s="5" t="inlineStr">
        <is>
          <t>Master</t>
        </is>
      </c>
      <c r="V9" s="4" t="inlineStr"/>
      <c r="W9" s="9" t="inlineStr">
        <is>
          <t>Dental Hospital</t>
        </is>
      </c>
      <c r="X9" s="4" t="inlineStr">
        <is>
          <t>Dhinesh Kumar C</t>
        </is>
      </c>
      <c r="Y9" s="4" t="inlineStr">
        <is>
          <t>Approve</t>
        </is>
      </c>
      <c r="Z9" s="4" t="inlineStr">
        <is>
          <t>Inventory (/ims) - expiry tracking</t>
        </is>
      </c>
      <c r="AA9" s="4" t="inlineStr">
        <is>
          <t>Already built. Switch on expiry tracking for all dental medicine items, enter expiry at goods receipt, add a 30 / 60 / 90-day near-expiry alert. Today 0 of 56 Dental Student Store batches carry an expiry date.</t>
        </is>
      </c>
      <c r="AB9" s="4" t="inlineStr">
        <is>
          <t>Approved. Inventory already supports expiry dates; only 23 of 249 batches have one. Action: switch on expiry tracking for all dental medicine items and add a near-expiry alert.</t>
        </is>
      </c>
    </row>
    <row r="10" ht="150" customHeight="1">
      <c r="A10" s="2" t="n">
        <v>9</v>
      </c>
      <c r="B10" s="2" t="inlineStr">
        <is>
          <t>a301440c</t>
        </is>
      </c>
      <c r="C10" s="2" t="inlineStr">
        <is>
          <t>2026-08-18</t>
        </is>
      </c>
      <c r="D10" s="3" t="inlineStr">
        <is>
          <t>SELVAMANI S</t>
        </is>
      </c>
      <c r="E10" s="4" t="inlineStr">
        <is>
          <t>Impact of Improved Laboratory Infrastructure on Student Satisfaction and Institutional Growth</t>
        </is>
      </c>
      <c r="F10" s="4" t="inlineStr">
        <is>
          <t>COE / Academic</t>
        </is>
      </c>
      <c r="G10" s="4" t="inlineStr">
        <is>
          <t>Under Review</t>
        </is>
      </c>
      <c r="H10" s="2" t="inlineStr">
        <is>
          <t>No</t>
        </is>
      </c>
      <c r="I10" s="4" t="inlineStr">
        <is>
          <t>Lab room appearance, flooring, and fan facilities are not up to the expected standard. Due to these inadequate facilities, students may feel uncomfortable while using the laboratory, which can affect their learning experience and overall satisfaction.</t>
        </is>
      </c>
      <c r="J10" s="4" t="inlineStr">
        <is>
          <t>The laboratory can be improved by providing a clean and attractive ambience, proper flooring, adequate fans, good lighting, and better overall appearance. A comfortable and well-maintained laboratory will improve students’ satisfaction and create a positive impression of the college. Students may also share their positive experience with others, which can support the college’s reputation and admissions. In the long term, the institution can recover infrastructure-related investments through appropriate fee planning, subject to applicable regulations, while gaining benefits through improved student satisfaction, admissions, and institutional image.</t>
        </is>
      </c>
      <c r="K10" s="4" t="inlineStr">
        <is>
          <t>Improved laboratory infrastructure will provide students with a comfortable and attractive learning environment. This can increase student satisfaction, create positive word-of-mouth publicity, improve the college’s reputation, and attract more admissions, benefiting the institution’s overall growth.</t>
        </is>
      </c>
      <c r="L10" s="4" t="inlineStr">
        <is>
          <t>The laboratory was directly visited and the existing infrastructure and facilities were observed. Information regarding the room condition, flooring, fan facilities, and overall ambience was also collected through direct observation and interaction with the concerned staff.</t>
        </is>
      </c>
      <c r="M10" s="4" t="inlineStr">
        <is>
          <t>VISWANATHAN S, BOOBALAN A</t>
        </is>
      </c>
      <c r="N10" s="2" t="n">
        <v>60</v>
      </c>
      <c r="O10" s="2" t="n">
        <v>2</v>
      </c>
      <c r="P10" s="2" t="n">
        <v>3</v>
      </c>
      <c r="Q10" s="2" t="n">
        <v>3</v>
      </c>
      <c r="R10" s="4" t="inlineStr">
        <is>
          <t>Duplicate lab ambience proposal with speculative benefits.</t>
        </is>
      </c>
      <c r="S10" s="2" t="inlineStr">
        <is>
          <t>G</t>
        </is>
      </c>
      <c r="T10" s="4" t="inlineStr">
        <is>
          <t>Lab - flooring, fans, lighting, ambience</t>
        </is>
      </c>
      <c r="U10" s="7" t="inlineStr">
        <is>
          <t>Duplicate</t>
        </is>
      </c>
      <c r="V10" s="4" t="inlineStr">
        <is>
          <t>f255de95</t>
        </is>
      </c>
      <c r="W10" s="6" t="inlineStr">
        <is>
          <t>Pharmacy</t>
        </is>
      </c>
      <c r="X10" s="4" t="inlineStr">
        <is>
          <t>Rajkumar J</t>
        </is>
      </c>
      <c r="Y10" s="4" t="inlineStr">
        <is>
          <t>Close as duplicate</t>
        </is>
      </c>
      <c r="Z10" s="4" t="inlineStr">
        <is>
          <t>Resource Management (/resource-management) - maintenance</t>
        </is>
      </c>
      <c r="AA10" s="4" t="inlineStr">
        <is>
          <t>Facilities work, not software. Log as a maintenance job once the lab is named, photographed and costed.</t>
        </is>
      </c>
      <c r="AB10" s="4" t="inlineStr">
        <is>
          <t>Same proposal as f255de95, filed earlier. Closing this copy; you have been added as a contributor on the original.</t>
        </is>
      </c>
    </row>
    <row r="11" ht="150" customHeight="1">
      <c r="A11" s="2" t="n">
        <v>10</v>
      </c>
      <c r="B11" s="2" t="inlineStr">
        <is>
          <t>99f3eb6c</t>
        </is>
      </c>
      <c r="C11" s="2" t="inlineStr">
        <is>
          <t>2026-08-19</t>
        </is>
      </c>
      <c r="D11" s="3" t="inlineStr">
        <is>
          <t>SARANPRIYA R</t>
        </is>
      </c>
      <c r="E11" s="4" t="inlineStr">
        <is>
          <t>Pharmacy  department</t>
        </is>
      </c>
      <c r="F11" s="4" t="inlineStr">
        <is>
          <t>COE / Academic</t>
        </is>
      </c>
      <c r="G11" s="4" t="inlineStr">
        <is>
          <t>Under Review</t>
        </is>
      </c>
      <c r="H11" s="2" t="inlineStr">
        <is>
          <t>No</t>
        </is>
      </c>
      <c r="I11" s="4" t="inlineStr">
        <is>
          <t>Lab visit was not permitted. Only purchasing details and museum-related information were provided.</t>
        </is>
      </c>
      <c r="J11" s="4" t="inlineStr">
        <is>
          <t>Improve the flooring and make necessary changes to the surrounding areas to create a cleaner, safer, and more comfortable environment.</t>
        </is>
      </c>
      <c r="K11" s="4" t="inlineStr">
        <is>
          <t>The laboratory facilities should be improved, and the latest/current chemical products required for practical work should be made available.</t>
        </is>
      </c>
      <c r="L11" s="4" t="inlineStr">
        <is>
          <t>Visit directly</t>
        </is>
      </c>
      <c r="M11" s="4" t="inlineStr">
        <is>
          <t>VISWANATHAN S, BOOBALAN A</t>
        </is>
      </c>
      <c r="N11" s="2" t="n">
        <v>67</v>
      </c>
      <c r="O11" s="2" t="n">
        <v>2</v>
      </c>
      <c r="P11" s="2" t="n">
        <v>3</v>
      </c>
      <c r="Q11" s="2" t="n">
        <v>2</v>
      </c>
      <c r="R11" s="4" t="inlineStr">
        <is>
          <t>Problem and fix are mismatched; flooring and chemicals are vaguely defined.</t>
        </is>
      </c>
      <c r="S11" s="2" t="inlineStr">
        <is>
          <t>H</t>
        </is>
      </c>
      <c r="T11" s="4" t="inlineStr">
        <is>
          <t>Pharmacy - "lab visit not permitted" + flooring</t>
        </is>
      </c>
      <c r="U11" s="11" t="inlineStr">
        <is>
          <t>Not pursued</t>
        </is>
      </c>
      <c r="V11" s="4" t="inlineStr"/>
      <c r="W11" s="6" t="inlineStr">
        <is>
          <t>Pharmacy</t>
        </is>
      </c>
      <c r="X11" s="4" t="inlineStr">
        <is>
          <t>Rajkumar J</t>
        </is>
      </c>
      <c r="Y11" s="4" t="inlineStr">
        <is>
          <t>Not pursue</t>
        </is>
      </c>
      <c r="Z11" s="4" t="inlineStr">
        <is>
          <t>None</t>
        </is>
      </c>
      <c r="AA11" s="4" t="inlineStr">
        <is>
          <t>Problem and fix do not match. The real finding is that entry to the lab was refused - pass to the Pharmacy owner as a Gemba access issue.</t>
        </is>
      </c>
      <c r="AB11" s="4" t="inlineStr">
        <is>
          <t>The problem (lab visit refused) and the fix (flooring) do not match. The access refusal has been passed to the Pharmacy owner.</t>
        </is>
      </c>
    </row>
    <row r="12" ht="150" customHeight="1">
      <c r="A12" s="2" t="n">
        <v>11</v>
      </c>
      <c r="B12" s="2" t="inlineStr">
        <is>
          <t>bd51d5b5</t>
        </is>
      </c>
      <c r="C12" s="2" t="inlineStr">
        <is>
          <t>2026-08-19</t>
        </is>
      </c>
      <c r="D12" s="3" t="inlineStr">
        <is>
          <t>SARANYA P</t>
        </is>
      </c>
      <c r="E12" s="4" t="inlineStr">
        <is>
          <t>Pharmacy  department</t>
        </is>
      </c>
      <c r="F12" s="4" t="inlineStr">
        <is>
          <t>COE / Academic</t>
        </is>
      </c>
      <c r="G12" s="4" t="inlineStr">
        <is>
          <t>Under Review</t>
        </is>
      </c>
      <c r="H12" s="2" t="inlineStr">
        <is>
          <t>No</t>
        </is>
      </c>
      <c r="I12" s="4" t="inlineStr">
        <is>
          <t>Lab visit was not permitted. Only purchasing details and museum-related information were provided.</t>
        </is>
      </c>
      <c r="J12" s="4" t="inlineStr">
        <is>
          <t>Improve the flooring and make necessary changes to the surrounding areas to create a cleaner, safer, and more comfortable environment.</t>
        </is>
      </c>
      <c r="K12" s="4" t="inlineStr">
        <is>
          <t>“The laboratory facilities should be improved, and the latest/current chemical products required for practical work should be made available.”</t>
        </is>
      </c>
      <c r="L12" s="4" t="inlineStr">
        <is>
          <t>Visit directly.</t>
        </is>
      </c>
      <c r="M12" s="4" t="inlineStr">
        <is>
          <t>VISWANATHAN S, BOOBALAN A</t>
        </is>
      </c>
      <c r="N12" s="2" t="n">
        <v>68</v>
      </c>
      <c r="O12" s="2" t="n">
        <v>2</v>
      </c>
      <c r="P12" s="2" t="n">
        <v>3</v>
      </c>
      <c r="Q12" s="2" t="n">
        <v>2</v>
      </c>
      <c r="R12" s="4" t="inlineStr">
        <is>
          <t>Duplicate pharmacy lab idea with unclear problem and weak evidence.</t>
        </is>
      </c>
      <c r="S12" s="2" t="inlineStr">
        <is>
          <t>H</t>
        </is>
      </c>
      <c r="T12" s="4" t="inlineStr">
        <is>
          <t>Pharmacy - "lab visit not permitted" + flooring</t>
        </is>
      </c>
      <c r="U12" s="7" t="inlineStr">
        <is>
          <t>Duplicate</t>
        </is>
      </c>
      <c r="V12" s="4" t="inlineStr">
        <is>
          <t>99f3eb6c</t>
        </is>
      </c>
      <c r="W12" s="6" t="inlineStr">
        <is>
          <t>Pharmacy</t>
        </is>
      </c>
      <c r="X12" s="4" t="inlineStr">
        <is>
          <t>Rajkumar J</t>
        </is>
      </c>
      <c r="Y12" s="4" t="inlineStr">
        <is>
          <t>Close as duplicate</t>
        </is>
      </c>
      <c r="Z12" s="4" t="inlineStr">
        <is>
          <t>None</t>
        </is>
      </c>
      <c r="AA12" s="4" t="inlineStr">
        <is>
          <t>Problem and fix do not match. The real finding is that entry to the lab was refused - pass to the Pharmacy owner as a Gemba access issue.</t>
        </is>
      </c>
      <c r="AB12" s="4" t="inlineStr">
        <is>
          <t>Same proposal as 99f3eb6c, filed earlier. Closing this copy; you have been added as a contributor on the original.</t>
        </is>
      </c>
    </row>
    <row r="13" ht="150" customHeight="1">
      <c r="A13" s="2" t="n">
        <v>12</v>
      </c>
      <c r="B13" s="2" t="inlineStr">
        <is>
          <t>c55831f9</t>
        </is>
      </c>
      <c r="C13" s="2" t="inlineStr">
        <is>
          <t>2026-09-02</t>
        </is>
      </c>
      <c r="D13" s="3" t="inlineStr">
        <is>
          <t>MAHIBALAN M</t>
        </is>
      </c>
      <c r="E13" s="4" t="inlineStr">
        <is>
          <t>Automated Academic Document Issuance &amp; Tracking System</t>
        </is>
      </c>
      <c r="F13" s="4" t="inlineStr">
        <is>
          <t>COE / Academic</t>
        </is>
      </c>
      <c r="G13" s="4" t="inlineStr">
        <is>
          <t>Under Review</t>
        </is>
      </c>
      <c r="H13" s="2" t="inlineStr">
        <is>
          <t>Yes</t>
        </is>
      </c>
      <c r="I13" s="4" t="inlineStr">
        <is>
          <t>Students experience long waiting times to receive certificates, transcripts, and mark sheets due to manual processing, lack of status updates, and delays in approvals. This affects students applying for higher studies, placements, and jobs.</t>
        </is>
      </c>
      <c r="J13" s="4" t="inlineStr">
        <is>
          <t>Implement an online application and tracking system with defined processing timelines. Digitize records, automate approval workflows, and notify students through SMS/email at each stage of processing.</t>
        </is>
      </c>
      <c r="K13" s="4" t="inlineStr">
        <is>
          <t>Reduced waiting time and office visits. Improved student satisfaction</t>
        </is>
      </c>
      <c r="L13" s="4" t="inlineStr">
        <is>
          <t>which data shows it Frequent student complaints regarding delays</t>
        </is>
      </c>
      <c r="M13" s="4" t="inlineStr">
        <is>
          <t>VISWANATHAN S, BOOBALAN A</t>
        </is>
      </c>
      <c r="N13" s="2" t="n">
        <v>3</v>
      </c>
      <c r="O13" s="2" t="n">
        <v>4</v>
      </c>
      <c r="P13" s="2" t="n">
        <v>4</v>
      </c>
      <c r="Q13" s="2" t="n">
        <v>5</v>
      </c>
      <c r="R13" s="4" t="inlineStr">
        <is>
          <t>Document issuance tracking fixes frequent complaints and affects placements and higher studies; urgent.</t>
        </is>
      </c>
      <c r="S13" s="2" t="inlineStr">
        <is>
          <t>A</t>
        </is>
      </c>
      <c r="T13" s="4" t="inlineStr">
        <is>
          <t>Certificate / transcript / mark sheet delays</t>
        </is>
      </c>
      <c r="U13" s="7" t="inlineStr">
        <is>
          <t>Duplicate</t>
        </is>
      </c>
      <c r="V13" s="4" t="inlineStr">
        <is>
          <t>98a8204e</t>
        </is>
      </c>
      <c r="W13" s="8" t="inlineStr">
        <is>
          <t>COE</t>
        </is>
      </c>
      <c r="X13" s="4" t="inlineStr">
        <is>
          <t>No COE owner on the board (coe role: Silambarasan V, COE Official, COE JKKNCAS / S. Umavathi)</t>
        </is>
      </c>
      <c r="Y13" s="4" t="inlineStr">
        <is>
          <t>Close as duplicate</t>
        </is>
      </c>
      <c r="Z13" s="4" t="inlineStr">
        <is>
          <t>Service Requests (/service-requests)</t>
        </is>
      </c>
      <c r="AA13" s="4" t="inlineStr">
        <is>
          <t>Already live: online request, approval workflow, timeline, Bonafide / Course Completion PDF. Gaps: (1) record fulfilment - only 4 of 988 marked fulfilled; (2) notify the learner on approved / ready / rejected; (3) turnaround target + overdue filter; (4) enable certificate PDFs on all live certificate types; (5) add COE service types for transcript, duplicate / consolidated mark sheet, provisional certificate.</t>
        </is>
      </c>
      <c r="AB13" s="4" t="inlineStr">
        <is>
          <t>Same proposal as 98a8204e, filed earlier. Closing this copy; you have been added as a contributor on the original.</t>
        </is>
      </c>
    </row>
    <row r="14" ht="150" customHeight="1">
      <c r="A14" s="2" t="n">
        <v>13</v>
      </c>
      <c r="B14" s="2" t="inlineStr">
        <is>
          <t>de8c082c</t>
        </is>
      </c>
      <c r="C14" s="2" t="inlineStr">
        <is>
          <t>2026-09-02</t>
        </is>
      </c>
      <c r="D14" s="3" t="inlineStr">
        <is>
          <t>KISHORE RAJ L</t>
        </is>
      </c>
      <c r="E14" s="4" t="inlineStr">
        <is>
          <t>COE / Academic</t>
        </is>
      </c>
      <c r="F14" s="4" t="inlineStr">
        <is>
          <t>COE / Academic</t>
        </is>
      </c>
      <c r="G14" s="4" t="inlineStr">
        <is>
          <t>Under Review</t>
        </is>
      </c>
      <c r="H14" s="2" t="inlineStr">
        <is>
          <t>No</t>
        </is>
      </c>
      <c r="I14" s="4" t="inlineStr">
        <is>
          <t>Students experience long waiting times to receive certificates, transcripts, and mark sheets due to manual processing, lack of status updates, and delays in approvals. This affects students applying for higher studies, placements, and jobs.</t>
        </is>
      </c>
      <c r="J14" s="4" t="inlineStr">
        <is>
          <t>Implement an online application and tracking system with defined processing timelines. Digitize records, automate approval workflows, and notify students through SMS/email at each stage of processing.</t>
        </is>
      </c>
      <c r="K14" s="4" t="inlineStr">
        <is>
          <t>Reduced waiting time and office visits.Improved
student satisfaction</t>
        </is>
      </c>
      <c r="L14" s="4" t="inlineStr">
        <is>
          <t>Frequent student complaints regarding delay.</t>
        </is>
      </c>
      <c r="M14" s="4" t="inlineStr">
        <is>
          <t>VISWANATHAN S, BOOBALAN A</t>
        </is>
      </c>
      <c r="N14" s="2" t="n">
        <v>15</v>
      </c>
      <c r="O14" s="2" t="n">
        <v>4</v>
      </c>
      <c r="P14" s="2" t="n">
        <v>4</v>
      </c>
      <c r="Q14" s="2" t="n">
        <v>4</v>
      </c>
      <c r="R14" s="4" t="inlineStr">
        <is>
          <t>Same document-issuance tracking idea, backed by complaint evidence.</t>
        </is>
      </c>
      <c r="S14" s="2" t="inlineStr">
        <is>
          <t>A</t>
        </is>
      </c>
      <c r="T14" s="4" t="inlineStr">
        <is>
          <t>Certificate / transcript / mark sheet delays</t>
        </is>
      </c>
      <c r="U14" s="7" t="inlineStr">
        <is>
          <t>Duplicate</t>
        </is>
      </c>
      <c r="V14" s="4" t="inlineStr">
        <is>
          <t>98a8204e</t>
        </is>
      </c>
      <c r="W14" s="8" t="inlineStr">
        <is>
          <t>COE</t>
        </is>
      </c>
      <c r="X14" s="4" t="inlineStr">
        <is>
          <t>No COE owner on the board (coe role: Silambarasan V, COE Official, COE JKKNCAS / S. Umavathi)</t>
        </is>
      </c>
      <c r="Y14" s="4" t="inlineStr">
        <is>
          <t>Close as duplicate</t>
        </is>
      </c>
      <c r="Z14" s="4" t="inlineStr">
        <is>
          <t>Service Requests (/service-requests)</t>
        </is>
      </c>
      <c r="AA14" s="4" t="inlineStr">
        <is>
          <t>Already live: online request, approval workflow, timeline, Bonafide / Course Completion PDF. Gaps: (1) record fulfilment - only 4 of 988 marked fulfilled; (2) notify the learner on approved / ready / rejected; (3) turnaround target + overdue filter; (4) enable certificate PDFs on all live certificate types; (5) add COE service types for transcript, duplicate / consolidated mark sheet, provisional certificate.</t>
        </is>
      </c>
      <c r="AB14" s="4" t="inlineStr">
        <is>
          <t>Same proposal as 98a8204e, filed earlier. Closing this copy; you have been added as a contributor on the original.</t>
        </is>
      </c>
    </row>
    <row r="15" ht="150" customHeight="1">
      <c r="A15" s="2" t="n">
        <v>14</v>
      </c>
      <c r="B15" s="2" t="inlineStr">
        <is>
          <t>79dbcdab</t>
        </is>
      </c>
      <c r="C15" s="2" t="inlineStr">
        <is>
          <t>2026-09-02</t>
        </is>
      </c>
      <c r="D15" s="3" t="inlineStr">
        <is>
          <t>KAVIYA V</t>
        </is>
      </c>
      <c r="E15" s="4" t="inlineStr">
        <is>
          <t>COE / Academic</t>
        </is>
      </c>
      <c r="F15" s="4" t="inlineStr">
        <is>
          <t>COE / Academic</t>
        </is>
      </c>
      <c r="G15" s="4" t="inlineStr">
        <is>
          <t>Under Review</t>
        </is>
      </c>
      <c r="H15" s="2" t="inlineStr">
        <is>
          <t>No</t>
        </is>
      </c>
      <c r="I15" s="4" t="inlineStr">
        <is>
          <t>Students experience long waiting times to receive certificates, transcripts, and mark sheets due to manual processing, lack of status updates, and delays in approvals. This affects students applying for higher studies, placements, and jobs.</t>
        </is>
      </c>
      <c r="J15" s="4" t="inlineStr">
        <is>
          <t>Implement an online application and tracking system with defined processing timelines. Digitize records, automate approval workflows, and notify students through SMS/email at each stage of processing.</t>
        </is>
      </c>
      <c r="K15" s="4" t="inlineStr">
        <is>
          <t>Reduced waiting time and office visits.Improved
student satisfaction</t>
        </is>
      </c>
      <c r="L15" s="4" t="inlineStr">
        <is>
          <t>Frequent student complaints regarding delay.</t>
        </is>
      </c>
      <c r="M15" s="4" t="inlineStr">
        <is>
          <t>VISWANATHAN S, BOOBALAN A</t>
        </is>
      </c>
      <c r="N15" s="2" t="n">
        <v>16</v>
      </c>
      <c r="O15" s="2" t="n">
        <v>4</v>
      </c>
      <c r="P15" s="2" t="n">
        <v>4</v>
      </c>
      <c r="Q15" s="2" t="n">
        <v>4</v>
      </c>
      <c r="R15" s="4" t="inlineStr">
        <is>
          <t>Duplicate COE document tracking proposal with the same complaint evidence.</t>
        </is>
      </c>
      <c r="S15" s="2" t="inlineStr">
        <is>
          <t>A</t>
        </is>
      </c>
      <c r="T15" s="4" t="inlineStr">
        <is>
          <t>Certificate / transcript / mark sheet delays</t>
        </is>
      </c>
      <c r="U15" s="7" t="inlineStr">
        <is>
          <t>Duplicate</t>
        </is>
      </c>
      <c r="V15" s="4" t="inlineStr">
        <is>
          <t>98a8204e</t>
        </is>
      </c>
      <c r="W15" s="8" t="inlineStr">
        <is>
          <t>COE</t>
        </is>
      </c>
      <c r="X15" s="4" t="inlineStr">
        <is>
          <t>No COE owner on the board (coe role: Silambarasan V, COE Official, COE JKKNCAS / S. Umavathi)</t>
        </is>
      </c>
      <c r="Y15" s="4" t="inlineStr">
        <is>
          <t>Close as duplicate</t>
        </is>
      </c>
      <c r="Z15" s="4" t="inlineStr">
        <is>
          <t>Service Requests (/service-requests)</t>
        </is>
      </c>
      <c r="AA15" s="4" t="inlineStr">
        <is>
          <t>Already live: online request, approval workflow, timeline, Bonafide / Course Completion PDF. Gaps: (1) record fulfilment - only 4 of 988 marked fulfilled; (2) notify the learner on approved / ready / rejected; (3) turnaround target + overdue filter; (4) enable certificate PDFs on all live certificate types; (5) add COE service types for transcript, duplicate / consolidated mark sheet, provisional certificate.</t>
        </is>
      </c>
      <c r="AB15" s="4" t="inlineStr">
        <is>
          <t>Same proposal as 98a8204e, filed earlier. Closing this copy; you have been added as a contributor on the original.</t>
        </is>
      </c>
    </row>
    <row r="16" ht="150" customHeight="1">
      <c r="A16" s="2" t="n">
        <v>15</v>
      </c>
      <c r="B16" s="2" t="inlineStr">
        <is>
          <t>b5428ff8</t>
        </is>
      </c>
      <c r="C16" s="2" t="inlineStr">
        <is>
          <t>2026-09-02</t>
        </is>
      </c>
      <c r="D16" s="3" t="inlineStr">
        <is>
          <t>SAVITHA K</t>
        </is>
      </c>
      <c r="E16" s="4" t="inlineStr">
        <is>
          <t>Dental College Crowd Management System</t>
        </is>
      </c>
      <c r="F16" s="4" t="inlineStr">
        <is>
          <t>COE / Academic</t>
        </is>
      </c>
      <c r="G16" s="4" t="inlineStr">
        <is>
          <t>Under Review</t>
        </is>
      </c>
      <c r="H16" s="2" t="inlineStr">
        <is>
          <t>No</t>
        </is>
      </c>
      <c r="I16" s="4" t="inlineStr">
        <is>
          <t>The dental college experiences heavy patient crowd, especially during peak hours. This leads to long queues, increased waiting time, congestion in the registration and treatment areas, and difficulty in managing patient flow. The lack of an organized queue or appointment system causes unnecessary crowding and delays in providing dental services.</t>
        </is>
      </c>
      <c r="J16" s="4" t="inlineStr">
        <is>
          <t>To control the rush in the dental college, a proper token and queue management system can be introduced. Patients can be given tokens or time-based appointments to avoid overcrowding. An online registration and appointment facility can also be provided, allowing patients to book their visits in advance. Separate areas for registration, consultation, billing, and treatment can be arranged to improve patient flow. This system will reduce waiting time, avoid unnecessary crowding, and make the dental services more organized and efficient.</t>
        </is>
      </c>
      <c r="K16" s="4" t="inlineStr">
        <is>
          <t>The proposed system is expected to reduce patient crowding and waiting time in the dental college. It will improve the smooth flow of patients and reduce confusion during registration, consultation, and treatment. Staff can manage patients more efficiently, which will reduce their workload. Overall, it will provide a better patient experience, faster service, improved operational efficiency, and a more organized dental college environment.</t>
        </is>
      </c>
      <c r="L16" s="4" t="inlineStr">
        <is>
          <t>Eye witnesses</t>
        </is>
      </c>
      <c r="M16" s="4" t="inlineStr">
        <is>
          <t>VISWANATHAN S, BOOBALAN A</t>
        </is>
      </c>
      <c r="N16" s="2" t="n">
        <v>34</v>
      </c>
      <c r="O16" s="2" t="n">
        <v>3</v>
      </c>
      <c r="P16" s="2" t="n">
        <v>4</v>
      </c>
      <c r="Q16" s="2" t="n">
        <v>3</v>
      </c>
      <c r="R16" s="4" t="inlineStr">
        <is>
          <t>Duplicate crowd management proposal; eyewitness evidence only.</t>
        </is>
      </c>
      <c r="S16" s="2" t="inlineStr">
        <is>
          <t>C</t>
        </is>
      </c>
      <c r="T16" s="4" t="inlineStr">
        <is>
          <t>Dental - token / queue system for patient crowd</t>
        </is>
      </c>
      <c r="U16" s="5" t="inlineStr">
        <is>
          <t>Master</t>
        </is>
      </c>
      <c r="V16" s="4" t="inlineStr"/>
      <c r="W16" s="9" t="inlineStr">
        <is>
          <t>Dental Hospital</t>
        </is>
      </c>
      <c r="X16" s="4" t="inlineStr">
        <is>
          <t>Dhinesh Kumar C</t>
        </is>
      </c>
      <c r="Y16" s="4" t="inlineStr">
        <is>
          <t>Merge scope with c913913b</t>
        </is>
      </c>
      <c r="Z16" s="4" t="inlineStr">
        <is>
          <t>None (new build)</t>
        </is>
      </c>
      <c r="AA16" s="4" t="inlineStr">
        <is>
          <t>Run as one pilot with the appointment card c913913b: slots per chair, token for walk-ins. Build a module only if the pilot reduces waiting time.</t>
        </is>
      </c>
      <c r="AB16" s="4" t="inlineStr">
        <is>
          <t>Taken up as part of the dental appointment pilot (c913913b).</t>
        </is>
      </c>
    </row>
    <row r="17" ht="150" customHeight="1">
      <c r="A17" s="2" t="n">
        <v>16</v>
      </c>
      <c r="B17" s="2" t="inlineStr">
        <is>
          <t>2b02c1b6</t>
        </is>
      </c>
      <c r="C17" s="2" t="inlineStr">
        <is>
          <t>2026-09-03</t>
        </is>
      </c>
      <c r="D17" s="3" t="inlineStr">
        <is>
          <t>SELVAMANI S</t>
        </is>
      </c>
      <c r="E17" s="4" t="inlineStr">
        <is>
          <t>Dental College Crowd Management System</t>
        </is>
      </c>
      <c r="F17" s="4" t="inlineStr">
        <is>
          <t>COE / Academic</t>
        </is>
      </c>
      <c r="G17" s="4" t="inlineStr">
        <is>
          <t>Under Review</t>
        </is>
      </c>
      <c r="H17" s="2" t="inlineStr">
        <is>
          <t>No</t>
        </is>
      </c>
      <c r="I17" s="4" t="inlineStr">
        <is>
          <t>The dental college experiences heavy patient crowd, especially during peak hours. This leads to long queues, increased waiting time, congestion in the registration and treatment areas, and difficulty in managing patient flow. The lack of an organized queue or appointment system causes unnecessary crowding and delays in providing dental services.</t>
        </is>
      </c>
      <c r="J17" s="4" t="inlineStr">
        <is>
          <t>To control the rush in the dental college, a proper token and queue management system can be introduced. Patients can be given tokens or time-based appointments to avoid overcrowding. An online registration and appointment facility can also be provided, allowing patients to book their visits in advance. Separate areas for registration, consultation, billing, and treatment can be arranged to improve patient flow. This system will reduce waiting time, avoid unnecessary crowding, and make the dental services more organized and efficient.</t>
        </is>
      </c>
      <c r="K17" s="4" t="inlineStr">
        <is>
          <t>The proposed system is expected to reduce patient crowding and waiting time in the dental college. It will improve the smooth flow of patients and reduce confusion during registration, consultation, and treatment. Staff can manage patients more efficiently, which will reduce their workload. Overall, it will provide a better patient experience, faster service, improved operational efficiency, and a more organized dental college environment.</t>
        </is>
      </c>
      <c r="L17" s="4" t="inlineStr">
        <is>
          <t>Eye witnesses</t>
        </is>
      </c>
      <c r="M17" s="4" t="inlineStr">
        <is>
          <t>VISWANATHAN S, BOOBALAN A</t>
        </is>
      </c>
      <c r="N17" s="2" t="n">
        <v>33</v>
      </c>
      <c r="O17" s="2" t="n">
        <v>3</v>
      </c>
      <c r="P17" s="2" t="n">
        <v>4</v>
      </c>
      <c r="Q17" s="2" t="n">
        <v>3</v>
      </c>
      <c r="R17" s="4" t="inlineStr">
        <is>
          <t>Token and queue system eases patient crowding; evidence is anecdotal.</t>
        </is>
      </c>
      <c r="S17" s="2" t="inlineStr">
        <is>
          <t>C</t>
        </is>
      </c>
      <c r="T17" s="4" t="inlineStr">
        <is>
          <t>Dental - token / queue system for patient crowd</t>
        </is>
      </c>
      <c r="U17" s="7" t="inlineStr">
        <is>
          <t>Duplicate</t>
        </is>
      </c>
      <c r="V17" s="4" t="inlineStr">
        <is>
          <t>b5428ff8</t>
        </is>
      </c>
      <c r="W17" s="9" t="inlineStr">
        <is>
          <t>Dental Hospital</t>
        </is>
      </c>
      <c r="X17" s="4" t="inlineStr">
        <is>
          <t>Dhinesh Kumar C</t>
        </is>
      </c>
      <c r="Y17" s="4" t="inlineStr">
        <is>
          <t>Close as duplicate</t>
        </is>
      </c>
      <c r="Z17" s="4" t="inlineStr">
        <is>
          <t>None (new build)</t>
        </is>
      </c>
      <c r="AA17" s="4" t="inlineStr">
        <is>
          <t>Run as one pilot with the appointment card c913913b: slots per chair, token for walk-ins. Build a module only if the pilot reduces waiting time.</t>
        </is>
      </c>
      <c r="AB17" s="4" t="inlineStr">
        <is>
          <t>Same proposal as b5428ff8, filed earlier. Closing this copy; you have been added as a contributor on the original.</t>
        </is>
      </c>
    </row>
    <row r="18" ht="150" customHeight="1">
      <c r="A18" s="2" t="n">
        <v>17</v>
      </c>
      <c r="B18" s="2" t="inlineStr">
        <is>
          <t>84cdd57b</t>
        </is>
      </c>
      <c r="C18" s="2" t="inlineStr">
        <is>
          <t>2026-10-06</t>
        </is>
      </c>
      <c r="D18" s="3" t="inlineStr">
        <is>
          <t>ABHISHEK RAJ G</t>
        </is>
      </c>
      <c r="E18" s="4" t="inlineStr">
        <is>
          <t>Academic</t>
        </is>
      </c>
      <c r="F18" s="4" t="inlineStr">
        <is>
          <t>COE / Academic</t>
        </is>
      </c>
      <c r="G18" s="4" t="inlineStr">
        <is>
          <t>Under Review</t>
        </is>
      </c>
      <c r="H18" s="2" t="inlineStr">
        <is>
          <t>No</t>
        </is>
      </c>
      <c r="I18" s="4" t="inlineStr">
        <is>
          <t>Students experience long waiting times to receive certificates, transcripts, and mark sheets due to manual processing, lack of status updates, and delays in approvals. This affects students applying for higher studies, placements, and jobs.</t>
        </is>
      </c>
      <c r="J18" s="4" t="inlineStr">
        <is>
          <t>Implement an online application and tracking system with defined processing timelines. Digitize records, automate approval workflows, and notify students through SMS/email at each stage of processing.</t>
        </is>
      </c>
      <c r="K18" s="4" t="inlineStr">
        <is>
          <t>Reduced waiting time and office visits.Improved student satisfaction.</t>
        </is>
      </c>
      <c r="L18" s="4" t="inlineStr">
        <is>
          <t>Frequent student complaints regarding delay.</t>
        </is>
      </c>
      <c r="M18" s="4" t="inlineStr">
        <is>
          <t>VISWANATHAN S, BOOBALAN A</t>
        </is>
      </c>
      <c r="N18" s="2" t="n">
        <v>17</v>
      </c>
      <c r="O18" s="2" t="n">
        <v>4</v>
      </c>
      <c r="P18" s="2" t="n">
        <v>4</v>
      </c>
      <c r="Q18" s="2" t="n">
        <v>4</v>
      </c>
      <c r="R18" s="4" t="inlineStr">
        <is>
          <t>Duplicate document-issuance tracking proposal; same benefits.</t>
        </is>
      </c>
      <c r="S18" s="2" t="inlineStr">
        <is>
          <t>A</t>
        </is>
      </c>
      <c r="T18" s="4" t="inlineStr">
        <is>
          <t>Certificate / transcript / mark sheet delays</t>
        </is>
      </c>
      <c r="U18" s="7" t="inlineStr">
        <is>
          <t>Duplicate</t>
        </is>
      </c>
      <c r="V18" s="4" t="inlineStr">
        <is>
          <t>98a8204e</t>
        </is>
      </c>
      <c r="W18" s="8" t="inlineStr">
        <is>
          <t>COE</t>
        </is>
      </c>
      <c r="X18" s="4" t="inlineStr">
        <is>
          <t>No COE owner on the board (coe role: Silambarasan V, COE Official, COE JKKNCAS / S. Umavathi)</t>
        </is>
      </c>
      <c r="Y18" s="4" t="inlineStr">
        <is>
          <t>Close as duplicate</t>
        </is>
      </c>
      <c r="Z18" s="4" t="inlineStr">
        <is>
          <t>Service Requests (/service-requests)</t>
        </is>
      </c>
      <c r="AA18" s="4" t="inlineStr">
        <is>
          <t>Already live: online request, approval workflow, timeline, Bonafide / Course Completion PDF. Gaps: (1) record fulfilment - only 4 of 988 marked fulfilled; (2) notify the learner on approved / ready / rejected; (3) turnaround target + overdue filter; (4) enable certificate PDFs on all live certificate types; (5) add COE service types for transcript, duplicate / consolidated mark sheet, provisional certificate.</t>
        </is>
      </c>
      <c r="AB18" s="4" t="inlineStr">
        <is>
          <t>Same proposal as 98a8204e, filed earlier. Closing this copy; you have been added as a contributor on the original.</t>
        </is>
      </c>
    </row>
    <row r="19" ht="150" customHeight="1">
      <c r="A19" s="2" t="n">
        <v>18</v>
      </c>
      <c r="B19" s="2" t="inlineStr">
        <is>
          <t>9c1e4cb3</t>
        </is>
      </c>
      <c r="C19" s="2" t="inlineStr">
        <is>
          <t>2026-10-06</t>
        </is>
      </c>
      <c r="D19" s="3" t="inlineStr">
        <is>
          <t>KISHORE RAJ L</t>
        </is>
      </c>
      <c r="E19" s="4" t="inlineStr">
        <is>
          <t>Dental</t>
        </is>
      </c>
      <c r="F19" s="4" t="inlineStr">
        <is>
          <t>COE / Academic</t>
        </is>
      </c>
      <c r="G19" s="4" t="inlineStr">
        <is>
          <t>Under Review</t>
        </is>
      </c>
      <c r="H19" s="2" t="inlineStr">
        <is>
          <t>Yes</t>
        </is>
      </c>
      <c r="I19" s="4" t="inlineStr">
        <is>
          <t>Delay in patient history and records, heavy patient load ,space and infrastructure issues, poor department coordination, software problems, and shortage of required equipment.</t>
        </is>
      </c>
      <c r="J19" s="4" t="inlineStr">
        <is>
          <t>Improve digital coordination, standardized procedures, upgrade clinic facilities, service equipment and provide required machine and instruments</t>
        </is>
      </c>
      <c r="K19" s="4" t="inlineStr">
        <is>
          <t>Faster patient care,better coordination, improved student experience and better quality of treatment.</t>
        </is>
      </c>
      <c r="L19" s="4" t="inlineStr"/>
      <c r="M19" s="4" t="inlineStr">
        <is>
          <t>VISWANATHAN S, BOOBALAN A</t>
        </is>
      </c>
      <c r="N19" s="2" t="n">
        <v>44</v>
      </c>
      <c r="O19" s="2" t="n">
        <v>3</v>
      </c>
      <c r="P19" s="2" t="n">
        <v>2</v>
      </c>
      <c r="Q19" s="2" t="n">
        <v>4</v>
      </c>
      <c r="R19" s="4" t="inlineStr">
        <is>
          <t>Broad dental fix without evidence; urgent flag only.</t>
        </is>
      </c>
      <c r="S19" s="2" t="inlineStr">
        <is>
          <t>B</t>
        </is>
      </c>
      <c r="T19" s="4" t="inlineStr">
        <is>
          <t>Dental - records delay, patient load, space, equipment (broad)</t>
        </is>
      </c>
      <c r="U19" s="7" t="inlineStr">
        <is>
          <t>Duplicate</t>
        </is>
      </c>
      <c r="V19" s="4" t="inlineStr">
        <is>
          <t>dd3afcf9</t>
        </is>
      </c>
      <c r="W19" s="9" t="inlineStr">
        <is>
          <t>Dental Hospital</t>
        </is>
      </c>
      <c r="X19" s="4" t="inlineStr">
        <is>
          <t>Dhinesh Kumar C</t>
        </is>
      </c>
      <c r="Y19" s="4" t="inlineStr">
        <is>
          <t>Close as duplicate</t>
        </is>
      </c>
      <c r="Z19" s="4" t="inlineStr">
        <is>
          <t>None (no patient module)</t>
        </is>
      </c>
      <c r="AA19" s="4" t="inlineStr">
        <is>
          <t>Too broad to build. Ask the author to re-file as one card per problem with one number each. Appointment delays are covered by c913913b and medicine expiry by 3aad071d.</t>
        </is>
      </c>
      <c r="AB19" s="4" t="inlineStr">
        <is>
          <t>Same proposal as dd3afcf9, filed earlier. Closing this copy; you have been added as a contributor on the original.</t>
        </is>
      </c>
    </row>
    <row r="20" ht="150" customHeight="1">
      <c r="A20" s="2" t="n">
        <v>19</v>
      </c>
      <c r="B20" s="2" t="inlineStr">
        <is>
          <t>2db88fe5</t>
        </is>
      </c>
      <c r="C20" s="2" t="inlineStr">
        <is>
          <t>2026-10-06</t>
        </is>
      </c>
      <c r="D20" s="3" t="inlineStr">
        <is>
          <t>RUBAN R</t>
        </is>
      </c>
      <c r="E20" s="4" t="inlineStr">
        <is>
          <t>Barcode scanning at dispensing to cut prescription errors and wait time</t>
        </is>
      </c>
      <c r="F20" s="4" t="inlineStr">
        <is>
          <t>COE / Academic</t>
        </is>
      </c>
      <c r="G20" s="4" t="inlineStr">
        <is>
          <t>Under Review</t>
        </is>
      </c>
      <c r="H20" s="2" t="inlineStr">
        <is>
          <t>Yes</t>
        </is>
      </c>
      <c r="I20" s="4" t="inlineStr">
        <is>
          <t>Medicines are picked and verified by hand, which is slow and leads to wrong-drug or wrong-strength mix-ups. Patients wait 25-30 minutes at the counter, and pharmacists spend much of their time on re-checking instead of counselling.</t>
        </is>
      </c>
      <c r="J20" s="4" t="inlineStr">
        <is>
          <t>Label every shelf bin and medicine pack with a barcode. Scan the prescription, then scan each medicine at picking and again at the final check. The system flags any mismatch before the medicine is handed over. Add a separate express queue for refills.</t>
        </is>
      </c>
      <c r="K20" s="4" t="inlineStr">
        <is>
          <t>Fewer dispensing errors, waiting time cut to about 10-15 minutes, less rework, and more pharmacist time for patient counselling.</t>
        </is>
      </c>
      <c r="L20" s="4" t="inlineStr">
        <is>
          <t>Log of dispensing errors and near-misses for the last 3 months (number), average waiting time from a one-week sample (minutes), and patient complaints or feedback about delays.</t>
        </is>
      </c>
      <c r="M20" s="4" t="inlineStr">
        <is>
          <t>VISWANATHAN S, BOOBALAN A</t>
        </is>
      </c>
      <c r="N20" s="2" t="n">
        <v>18</v>
      </c>
      <c r="O20" s="2" t="n">
        <v>4</v>
      </c>
      <c r="P20" s="2" t="n">
        <v>3</v>
      </c>
      <c r="Q20" s="2" t="n">
        <v>4</v>
      </c>
      <c r="R20" s="4" t="inlineStr">
        <is>
          <t>Barcode dispensing reduces medication errors and waits; patient safety, but needs hardware and system setup.</t>
        </is>
      </c>
      <c r="S20" s="2" t="inlineStr">
        <is>
          <t>I</t>
        </is>
      </c>
      <c r="T20" s="4" t="inlineStr">
        <is>
          <t>Pharmacy - barcode scan at dispensing</t>
        </is>
      </c>
      <c r="U20" s="5" t="inlineStr">
        <is>
          <t>Master</t>
        </is>
      </c>
      <c r="V20" s="4" t="inlineStr"/>
      <c r="W20" s="6" t="inlineStr">
        <is>
          <t>Pharmacy</t>
        </is>
      </c>
      <c r="X20" s="4" t="inlineStr">
        <is>
          <t>Rajkumar J</t>
        </is>
      </c>
      <c r="Y20" s="4" t="inlineStr">
        <is>
          <t>Approve as pilot</t>
        </is>
      </c>
      <c r="Z20" s="4" t="inlineStr">
        <is>
          <t>Inventory (/ims) - sales / POS (no barcode field yet)</t>
        </is>
      </c>
      <c r="AA20" s="4" t="inlineStr">
        <is>
          <t>Enhancement to the Inventory sales screen plus labels and scanners. Collect the baseline first: 3 months of dispensing errors and a one-week waiting-time sample.</t>
        </is>
      </c>
      <c r="AB20" s="4" t="inlineStr">
        <is>
          <t>Approved as a pilot. Please attach the baseline first: 3 months of dispensing errors and a one-week waiting-time sample.</t>
        </is>
      </c>
    </row>
    <row r="21" ht="150" customHeight="1">
      <c r="A21" s="2" t="n">
        <v>20</v>
      </c>
      <c r="B21" s="2" t="inlineStr">
        <is>
          <t>fef3462a</t>
        </is>
      </c>
      <c r="C21" s="2" t="inlineStr">
        <is>
          <t>2026-10-06</t>
        </is>
      </c>
      <c r="D21" s="3" t="inlineStr">
        <is>
          <t>KAVIYA V</t>
        </is>
      </c>
      <c r="E21" s="4" t="inlineStr">
        <is>
          <t>Dental</t>
        </is>
      </c>
      <c r="F21" s="4" t="inlineStr">
        <is>
          <t>COE / Academic</t>
        </is>
      </c>
      <c r="G21" s="4" t="inlineStr">
        <is>
          <t>Under Review</t>
        </is>
      </c>
      <c r="H21" s="2" t="inlineStr">
        <is>
          <t>No</t>
        </is>
      </c>
      <c r="I21" s="4" t="inlineStr">
        <is>
          <t>Delay in patient history and records, heavy patient load ,space and infrastructure issues, poor department coordination, software problems, and shortage of required equipment.</t>
        </is>
      </c>
      <c r="J21" s="4" t="inlineStr">
        <is>
          <t>Improve digital coordination, standardized procedures, upgrade clinic facilities, service equipment and provide required machine and instruments</t>
        </is>
      </c>
      <c r="K21" s="4" t="inlineStr">
        <is>
          <t>Faster patient care,better coordination, improved student experience and better quality of treatment.</t>
        </is>
      </c>
      <c r="L21" s="4" t="inlineStr"/>
      <c r="M21" s="4" t="inlineStr">
        <is>
          <t>VISWANATHAN S, BOOBALAN A</t>
        </is>
      </c>
      <c r="N21" s="2" t="n">
        <v>66</v>
      </c>
      <c r="O21" s="2" t="n">
        <v>3</v>
      </c>
      <c r="P21" s="2" t="n">
        <v>2</v>
      </c>
      <c r="Q21" s="2" t="n">
        <v>3</v>
      </c>
      <c r="R21" s="4" t="inlineStr">
        <is>
          <t>Broad dental fix with no evidence and not urgent.</t>
        </is>
      </c>
      <c r="S21" s="2" t="inlineStr">
        <is>
          <t>B</t>
        </is>
      </c>
      <c r="T21" s="4" t="inlineStr">
        <is>
          <t>Dental - records delay, patient load, space, equipment (broad)</t>
        </is>
      </c>
      <c r="U21" s="7" t="inlineStr">
        <is>
          <t>Duplicate</t>
        </is>
      </c>
      <c r="V21" s="4" t="inlineStr">
        <is>
          <t>dd3afcf9</t>
        </is>
      </c>
      <c r="W21" s="9" t="inlineStr">
        <is>
          <t>Dental Hospital</t>
        </is>
      </c>
      <c r="X21" s="4" t="inlineStr">
        <is>
          <t>Dhinesh Kumar C</t>
        </is>
      </c>
      <c r="Y21" s="4" t="inlineStr">
        <is>
          <t>Close as duplicate</t>
        </is>
      </c>
      <c r="Z21" s="4" t="inlineStr">
        <is>
          <t>None (no patient module)</t>
        </is>
      </c>
      <c r="AA21" s="4" t="inlineStr">
        <is>
          <t>Too broad to build. Ask the author to re-file as one card per problem with one number each. Appointment delays are covered by c913913b and medicine expiry by 3aad071d.</t>
        </is>
      </c>
      <c r="AB21" s="4" t="inlineStr">
        <is>
          <t>Same proposal as dd3afcf9, filed earlier. Closing this copy; you have been added as a contributor on the original.</t>
        </is>
      </c>
    </row>
    <row r="22" ht="150" customHeight="1">
      <c r="A22" s="2" t="n">
        <v>21</v>
      </c>
      <c r="B22" s="2" t="inlineStr">
        <is>
          <t>133d6b0c</t>
        </is>
      </c>
      <c r="C22" s="2" t="inlineStr">
        <is>
          <t>2026-10-06</t>
        </is>
      </c>
      <c r="D22" s="3" t="inlineStr">
        <is>
          <t>KISHORE RAJ L</t>
        </is>
      </c>
      <c r="E22" s="4" t="inlineStr">
        <is>
          <t>Pharmacy</t>
        </is>
      </c>
      <c r="F22" s="4" t="inlineStr">
        <is>
          <t>COE / Academic</t>
        </is>
      </c>
      <c r="G22" s="4" t="inlineStr">
        <is>
          <t>Under Review</t>
        </is>
      </c>
      <c r="H22" s="2" t="inlineStr">
        <is>
          <t>No</t>
        </is>
      </c>
      <c r="I22" s="4" t="inlineStr">
        <is>
          <t>Only purchasing details and museum-related information were provided.</t>
        </is>
      </c>
      <c r="J22" s="4" t="inlineStr">
        <is>
          <t>Improve the flooring and make necessary changes to the surrounding areas to create a cleaner, safer, and more comfortable environment.</t>
        </is>
      </c>
      <c r="K22" s="4" t="inlineStr"/>
      <c r="L22" s="4" t="inlineStr">
        <is>
          <t>The laboratory facilities should be improved, and the latest/current chemical products required for practical work should be made available.”</t>
        </is>
      </c>
      <c r="M22" s="4" t="inlineStr">
        <is>
          <t>VISWANATHAN S, BOOBALAN A</t>
        </is>
      </c>
      <c r="N22" s="2" t="n">
        <v>69</v>
      </c>
      <c r="O22" s="2" t="n">
        <v>1</v>
      </c>
      <c r="P22" s="2" t="n">
        <v>3</v>
      </c>
      <c r="Q22" s="2" t="n">
        <v>2</v>
      </c>
      <c r="R22" s="4" t="inlineStr">
        <is>
          <t>Incoherent case: no stated impact and the problem does not match the fix.</t>
        </is>
      </c>
      <c r="S22" s="2" t="inlineStr">
        <is>
          <t>H</t>
        </is>
      </c>
      <c r="T22" s="4" t="inlineStr">
        <is>
          <t>Pharmacy - "lab visit not permitted" + flooring</t>
        </is>
      </c>
      <c r="U22" s="7" t="inlineStr">
        <is>
          <t>Duplicate</t>
        </is>
      </c>
      <c r="V22" s="4" t="inlineStr">
        <is>
          <t>99f3eb6c</t>
        </is>
      </c>
      <c r="W22" s="6" t="inlineStr">
        <is>
          <t>Pharmacy</t>
        </is>
      </c>
      <c r="X22" s="4" t="inlineStr">
        <is>
          <t>Rajkumar J</t>
        </is>
      </c>
      <c r="Y22" s="4" t="inlineStr">
        <is>
          <t>Close as duplicate</t>
        </is>
      </c>
      <c r="Z22" s="4" t="inlineStr">
        <is>
          <t>None</t>
        </is>
      </c>
      <c r="AA22" s="4" t="inlineStr">
        <is>
          <t>Problem and fix do not match. The real finding is that entry to the lab was refused - pass to the Pharmacy owner as a Gemba access issue.</t>
        </is>
      </c>
      <c r="AB22" s="4" t="inlineStr">
        <is>
          <t>Same proposal as 99f3eb6c, filed earlier. Closing this copy; you have been added as a contributor on the original.</t>
        </is>
      </c>
    </row>
    <row r="23" ht="150" customHeight="1">
      <c r="A23" s="2" t="n">
        <v>22</v>
      </c>
      <c r="B23" s="2" t="inlineStr">
        <is>
          <t>7793da9e</t>
        </is>
      </c>
      <c r="C23" s="2" t="inlineStr">
        <is>
          <t>2026-10-06</t>
        </is>
      </c>
      <c r="D23" s="3" t="inlineStr">
        <is>
          <t>RUBAN R</t>
        </is>
      </c>
      <c r="E23" s="4" t="inlineStr">
        <is>
          <t>Digital purchase request and approval system with preferred vendor list</t>
        </is>
      </c>
      <c r="F23" s="4" t="inlineStr">
        <is>
          <t>COE / Academic</t>
        </is>
      </c>
      <c r="G23" s="4" t="inlineStr">
        <is>
          <t>Under Review</t>
        </is>
      </c>
      <c r="H23" s="2" t="inlineStr">
        <is>
          <t>Yes</t>
        </is>
      </c>
      <c r="I23" s="4" t="inlineStr">
        <is>
          <t>Purchase requests move on paper or WhatsApp and wait days for approval. Urgent items get bought at higher prices, quotes aren't compared consistently, and nobody can easily see what was ordered, from whom, or what is still pending. This delays work in every department.</t>
        </is>
      </c>
      <c r="J23" s="4" t="inlineStr">
        <is>
          <t>Move requests to one shared digital form with auto-routing to the approver. Keep a preferred vendor list with agreed rates, and require at least 3 quotes above a set amount. Add a simple tracker showing each request's status (requested, approved, ordered, received), and set reorder levels for regularly used items so they are bought in bulk.</t>
        </is>
      </c>
      <c r="K23" s="4" t="inlineStr">
        <is>
          <t>Approval time cut from about 5 days to 1-2 days, 8-10% savings from rate contracts and bulk buying, fewer urgent purchases, and a clear audit trail.</t>
        </is>
      </c>
      <c r="L23" s="4" t="inlineStr">
        <is>
          <t>Average days from request to order (sample of the last 20 requests), price differences paid for the same item across months, number of urgent or emergency purchases last quarter, and complaints about late supplies.</t>
        </is>
      </c>
      <c r="M23" s="4" t="inlineStr">
        <is>
          <t>VISWANATHAN S, BOOBALAN A</t>
        </is>
      </c>
      <c r="N23" s="2" t="n">
        <v>28</v>
      </c>
      <c r="O23" s="2" t="n">
        <v>4</v>
      </c>
      <c r="P23" s="2" t="n">
        <v>3</v>
      </c>
      <c r="Q23" s="2" t="n">
        <v>3</v>
      </c>
      <c r="R23" s="4" t="inlineStr">
        <is>
          <t>Digital purchasing saves cost and time across departments; needs change management.</t>
        </is>
      </c>
      <c r="S23" s="2" t="inlineStr">
        <is>
          <t>J</t>
        </is>
      </c>
      <c r="T23" s="4" t="inlineStr">
        <is>
          <t>Procurement - digital purchase request, approvals, vendor list</t>
        </is>
      </c>
      <c r="U23" s="5" t="inlineStr">
        <is>
          <t>Master</t>
        </is>
      </c>
      <c r="V23" s="4" t="inlineStr"/>
      <c r="W23" s="10" t="inlineStr">
        <is>
          <t>Procurement</t>
        </is>
      </c>
      <c r="X23" s="4" t="inlineStr">
        <is>
          <t>Salini P</t>
        </is>
      </c>
      <c r="Y23" s="4" t="inlineStr">
        <is>
          <t>Approve</t>
        </is>
      </c>
      <c r="Z23" s="4" t="inlineStr">
        <is>
          <t>Procurement (/procurement)</t>
        </is>
      </c>
      <c r="AA23" s="4" t="inlineStr">
        <is>
          <t>Already live: 38 requests, 31 RFQs, 36 quotations, 15 purchase orders. Gaps: 0 goods receipts and 0 vendor ratings. Make GRN mandatory to close a PO, start vendor ratings, enforce 3 quotations above a set amount, use reorder levels.</t>
        </is>
      </c>
      <c r="AB23" s="4" t="inlineStr">
        <is>
          <t>Most of this is live in the Procurement module (38 requests, 31 RFQs, 15 purchase orders). Approved for the missing parts: goods-receipt entry, vendor ratings and the 3-quote rule.</t>
        </is>
      </c>
    </row>
    <row r="24" ht="150" customHeight="1">
      <c r="A24" s="2" t="n">
        <v>23</v>
      </c>
      <c r="B24" s="2" t="inlineStr">
        <is>
          <t>c913913b</t>
        </is>
      </c>
      <c r="C24" s="2" t="inlineStr">
        <is>
          <t>2026-10-06</t>
        </is>
      </c>
      <c r="D24" s="3" t="inlineStr">
        <is>
          <t>RUBAN R</t>
        </is>
      </c>
      <c r="E24" s="4" t="inlineStr">
        <is>
          <t>Title: Appointment reminders and treatment follow-up tracking to cut no-shows and chair idle time Area: Patient Experience / Scheduling (or Operations) Target d</t>
        </is>
      </c>
      <c r="F24" s="4" t="inlineStr">
        <is>
          <t>COE / Academic</t>
        </is>
      </c>
      <c r="G24" s="4" t="inlineStr">
        <is>
          <t>Under Review</t>
        </is>
      </c>
      <c r="H24" s="2" t="inlineStr">
        <is>
          <t>Yes</t>
        </is>
      </c>
      <c r="I24" s="4" t="inlineStr">
        <is>
          <t>Appointments are booked in a register or by phone, with no reminders. Many patients miss visits, leaving chairs empty, while walk-ins crowd the waiting area. Patients in multi-visit treatments (root canal, braces, implants) often drop off midway, which hurts outcomes and revenue.</t>
        </is>
      </c>
      <c r="J24" s="4" t="inlineStr">
        <is>
          <t>Use one shared digital appointment sheet or booking tool with time slots for each chair and doctor. Send automatic WhatsApp or SMS reminders 1 day and 2 hours before the visit. Keep a follow-up tracker for every multi-visit treatment, with a call to patients who miss their next step within 3 days. Reserve a few daily slots for emergencies and walk-ins.</t>
        </is>
      </c>
      <c r="K24" s="4" t="inlineStr">
        <is>
          <t>No-shows cut from about 25% to 10%, waiting time reduced to 10-15 minutes, better chair utilisation, more patients completing treatment, and a smoother front desk.</t>
        </is>
      </c>
      <c r="L24" s="4" t="inlineStr">
        <is>
          <t>Number of no-shows and cancellations last month (from the register), average waiting time from a one-week sample (minutes), count of patients who left treatment incomplete last quarter, and patient complaints about delays.</t>
        </is>
      </c>
      <c r="M24" s="4" t="inlineStr">
        <is>
          <t>VISWANATHAN S, BOOBALAN A</t>
        </is>
      </c>
      <c r="N24" s="2" t="n">
        <v>19</v>
      </c>
      <c r="O24" s="2" t="n">
        <v>4</v>
      </c>
      <c r="P24" s="2" t="n">
        <v>4</v>
      </c>
      <c r="Q24" s="2" t="n">
        <v>4</v>
      </c>
      <c r="R24" s="4" t="inlineStr">
        <is>
          <t>Reminders and follow-up tracking cut no-shows cheaply; measurable and urgent.</t>
        </is>
      </c>
      <c r="S24" s="2" t="inlineStr">
        <is>
          <t>D</t>
        </is>
      </c>
      <c r="T24" s="4" t="inlineStr">
        <is>
          <t>Dental - appointment reminders + follow-up tracking</t>
        </is>
      </c>
      <c r="U24" s="5" t="inlineStr">
        <is>
          <t>Master</t>
        </is>
      </c>
      <c r="V24" s="4" t="inlineStr"/>
      <c r="W24" s="9" t="inlineStr">
        <is>
          <t>Dental Hospital</t>
        </is>
      </c>
      <c r="X24" s="4" t="inlineStr">
        <is>
          <t>Dhinesh Kumar C</t>
        </is>
      </c>
      <c r="Y24" s="4" t="inlineStr">
        <is>
          <t>Approve as pilot</t>
        </is>
      </c>
      <c r="Z24" s="4" t="inlineStr">
        <is>
          <t>WhatsApp integration (reminders only); no appointment module</t>
        </is>
      </c>
      <c r="AA24" s="4" t="inlineStr">
        <is>
          <t>Four-week pilot in one department: shared appointment sheet, reminders through the existing MyJKKN WhatsApp integration. Measure no-shows and waiting time before and after.</t>
        </is>
      </c>
      <c r="AB24" s="4" t="inlineStr">
        <is>
          <t>Approved as a four-week pilot in one department. Record no-shows and waiting time before and after.</t>
        </is>
      </c>
    </row>
  </sheetData>
  <autoFilter ref="A1:AB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8" customWidth="1" min="4" max="4"/>
    <col width="12" customWidth="1" min="5" max="5"/>
    <col width="12" customWidth="1" min="6" max="6"/>
    <col width="9" customWidth="1" min="7" max="7"/>
    <col width="14" customWidth="1" min="8" max="8"/>
    <col width="11" customWidth="1" min="9" max="9"/>
    <col width="13" customWidth="1" min="10" max="10"/>
    <col width="60" customWidth="1" min="11" max="11"/>
  </cols>
  <sheetData>
    <row r="1" ht="32" customHeight="1">
      <c r="A1" s="1" t="inlineStr">
        <is>
          <t>Filed by</t>
        </is>
      </c>
      <c r="B1" s="1" t="inlineStr">
        <is>
          <t>Cards filed</t>
        </is>
      </c>
      <c r="C1" s="1" t="inlineStr">
        <is>
          <t>Masters (original ideas)</t>
        </is>
      </c>
      <c r="D1" s="1" t="inlineStr">
        <is>
          <t>Duplicates / weaker copies</t>
        </is>
      </c>
      <c r="E1" s="1" t="inlineStr">
        <is>
          <t>Not pursued</t>
        </is>
      </c>
      <c r="F1" s="1" t="inlineStr">
        <is>
          <t>Urgent cards</t>
        </is>
      </c>
      <c r="G1" s="1" t="inlineStr">
        <is>
          <t>COE</t>
        </is>
      </c>
      <c r="H1" s="1" t="inlineStr">
        <is>
          <t>Dental Hospital</t>
        </is>
      </c>
      <c r="I1" s="1" t="inlineStr">
        <is>
          <t>Pharmacy</t>
        </is>
      </c>
      <c r="J1" s="1" t="inlineStr">
        <is>
          <t>Procurement</t>
        </is>
      </c>
      <c r="K1" s="1" t="inlineStr">
        <is>
          <t>Idea IDs</t>
        </is>
      </c>
    </row>
    <row r="2">
      <c r="A2" s="4" t="inlineStr">
        <is>
          <t>ABHISHEK RAJ G</t>
        </is>
      </c>
      <c r="B2" s="12">
        <f>COUNTIF('All 23 Ideas'!$D$2:$D$24,$A2)</f>
        <v/>
      </c>
      <c r="C2" s="12">
        <f>COUNTIFS('All 23 Ideas'!$D$2:$D$24,$A2,'All 23 Ideas'!$U$2:$U$24,"Master")</f>
        <v/>
      </c>
      <c r="D2" s="12">
        <f>COUNTIFS('All 23 Ideas'!$D$2:$D$24,$A2,'All 23 Ideas'!$U$2:$U$24,"Duplicate")+COUNTIFS('All 23 Ideas'!$D$2:$D$24,$A2,'All 23 Ideas'!$U$2:$U$24,"Weaker version")</f>
        <v/>
      </c>
      <c r="E2" s="12">
        <f>COUNTIFS('All 23 Ideas'!$D$2:$D$24,$A2,'All 23 Ideas'!$U$2:$U$24,"Not pursued")</f>
        <v/>
      </c>
      <c r="F2" s="12">
        <f>COUNTIFS('All 23 Ideas'!$D$2:$D$24,$A2,'All 23 Ideas'!$H$2:$H$24,"Yes")</f>
        <v/>
      </c>
      <c r="G2" s="12">
        <f>COUNTIFS('All 23 Ideas'!$D$2:$D$24,$A2,'All 23 Ideas'!$W$2:$W$24,"COE")</f>
        <v/>
      </c>
      <c r="H2" s="12">
        <f>COUNTIFS('All 23 Ideas'!$D$2:$D$24,$A2,'All 23 Ideas'!$W$2:$W$24,"Dental Hospital")</f>
        <v/>
      </c>
      <c r="I2" s="12">
        <f>COUNTIFS('All 23 Ideas'!$D$2:$D$24,$A2,'All 23 Ideas'!$W$2:$W$24,"Pharmacy")</f>
        <v/>
      </c>
      <c r="J2" s="12">
        <f>COUNTIFS('All 23 Ideas'!$D$2:$D$24,$A2,'All 23 Ideas'!$W$2:$W$24,"Procurement")</f>
        <v/>
      </c>
      <c r="K2" s="4" t="inlineStr">
        <is>
          <t>84cdd57b</t>
        </is>
      </c>
    </row>
    <row r="3">
      <c r="A3" s="4" t="inlineStr">
        <is>
          <t>KAVIYA V</t>
        </is>
      </c>
      <c r="B3" s="12">
        <f>COUNTIF('All 23 Ideas'!$D$2:$D$24,$A3)</f>
        <v/>
      </c>
      <c r="C3" s="12">
        <f>COUNTIFS('All 23 Ideas'!$D$2:$D$24,$A3,'All 23 Ideas'!$U$2:$U$24,"Master")</f>
        <v/>
      </c>
      <c r="D3" s="12">
        <f>COUNTIFS('All 23 Ideas'!$D$2:$D$24,$A3,'All 23 Ideas'!$U$2:$U$24,"Duplicate")+COUNTIFS('All 23 Ideas'!$D$2:$D$24,$A3,'All 23 Ideas'!$U$2:$U$24,"Weaker version")</f>
        <v/>
      </c>
      <c r="E3" s="12">
        <f>COUNTIFS('All 23 Ideas'!$D$2:$D$24,$A3,'All 23 Ideas'!$U$2:$U$24,"Not pursued")</f>
        <v/>
      </c>
      <c r="F3" s="12">
        <f>COUNTIFS('All 23 Ideas'!$D$2:$D$24,$A3,'All 23 Ideas'!$H$2:$H$24,"Yes")</f>
        <v/>
      </c>
      <c r="G3" s="12">
        <f>COUNTIFS('All 23 Ideas'!$D$2:$D$24,$A3,'All 23 Ideas'!$W$2:$W$24,"COE")</f>
        <v/>
      </c>
      <c r="H3" s="12">
        <f>COUNTIFS('All 23 Ideas'!$D$2:$D$24,$A3,'All 23 Ideas'!$W$2:$W$24,"Dental Hospital")</f>
        <v/>
      </c>
      <c r="I3" s="12">
        <f>COUNTIFS('All 23 Ideas'!$D$2:$D$24,$A3,'All 23 Ideas'!$W$2:$W$24,"Pharmacy")</f>
        <v/>
      </c>
      <c r="J3" s="12">
        <f>COUNTIFS('All 23 Ideas'!$D$2:$D$24,$A3,'All 23 Ideas'!$W$2:$W$24,"Procurement")</f>
        <v/>
      </c>
      <c r="K3" s="4" t="inlineStr">
        <is>
          <t>79dbcdab, fef3462a</t>
        </is>
      </c>
    </row>
    <row r="4">
      <c r="A4" s="4" t="inlineStr">
        <is>
          <t>KISHORE RAJ L</t>
        </is>
      </c>
      <c r="B4" s="12">
        <f>COUNTIF('All 23 Ideas'!$D$2:$D$24,$A4)</f>
        <v/>
      </c>
      <c r="C4" s="12">
        <f>COUNTIFS('All 23 Ideas'!$D$2:$D$24,$A4,'All 23 Ideas'!$U$2:$U$24,"Master")</f>
        <v/>
      </c>
      <c r="D4" s="12">
        <f>COUNTIFS('All 23 Ideas'!$D$2:$D$24,$A4,'All 23 Ideas'!$U$2:$U$24,"Duplicate")+COUNTIFS('All 23 Ideas'!$D$2:$D$24,$A4,'All 23 Ideas'!$U$2:$U$24,"Weaker version")</f>
        <v/>
      </c>
      <c r="E4" s="12">
        <f>COUNTIFS('All 23 Ideas'!$D$2:$D$24,$A4,'All 23 Ideas'!$U$2:$U$24,"Not pursued")</f>
        <v/>
      </c>
      <c r="F4" s="12">
        <f>COUNTIFS('All 23 Ideas'!$D$2:$D$24,$A4,'All 23 Ideas'!$H$2:$H$24,"Yes")</f>
        <v/>
      </c>
      <c r="G4" s="12">
        <f>COUNTIFS('All 23 Ideas'!$D$2:$D$24,$A4,'All 23 Ideas'!$W$2:$W$24,"COE")</f>
        <v/>
      </c>
      <c r="H4" s="12">
        <f>COUNTIFS('All 23 Ideas'!$D$2:$D$24,$A4,'All 23 Ideas'!$W$2:$W$24,"Dental Hospital")</f>
        <v/>
      </c>
      <c r="I4" s="12">
        <f>COUNTIFS('All 23 Ideas'!$D$2:$D$24,$A4,'All 23 Ideas'!$W$2:$W$24,"Pharmacy")</f>
        <v/>
      </c>
      <c r="J4" s="12">
        <f>COUNTIFS('All 23 Ideas'!$D$2:$D$24,$A4,'All 23 Ideas'!$W$2:$W$24,"Procurement")</f>
        <v/>
      </c>
      <c r="K4" s="4" t="inlineStr">
        <is>
          <t>de8c082c, 9c1e4cb3, 133d6b0c</t>
        </is>
      </c>
    </row>
    <row r="5">
      <c r="A5" s="4" t="inlineStr">
        <is>
          <t>MAHIBALAN M</t>
        </is>
      </c>
      <c r="B5" s="12">
        <f>COUNTIF('All 23 Ideas'!$D$2:$D$24,$A5)</f>
        <v/>
      </c>
      <c r="C5" s="12">
        <f>COUNTIFS('All 23 Ideas'!$D$2:$D$24,$A5,'All 23 Ideas'!$U$2:$U$24,"Master")</f>
        <v/>
      </c>
      <c r="D5" s="12">
        <f>COUNTIFS('All 23 Ideas'!$D$2:$D$24,$A5,'All 23 Ideas'!$U$2:$U$24,"Duplicate")+COUNTIFS('All 23 Ideas'!$D$2:$D$24,$A5,'All 23 Ideas'!$U$2:$U$24,"Weaker version")</f>
        <v/>
      </c>
      <c r="E5" s="12">
        <f>COUNTIFS('All 23 Ideas'!$D$2:$D$24,$A5,'All 23 Ideas'!$U$2:$U$24,"Not pursued")</f>
        <v/>
      </c>
      <c r="F5" s="12">
        <f>COUNTIFS('All 23 Ideas'!$D$2:$D$24,$A5,'All 23 Ideas'!$H$2:$H$24,"Yes")</f>
        <v/>
      </c>
      <c r="G5" s="12">
        <f>COUNTIFS('All 23 Ideas'!$D$2:$D$24,$A5,'All 23 Ideas'!$W$2:$W$24,"COE")</f>
        <v/>
      </c>
      <c r="H5" s="12">
        <f>COUNTIFS('All 23 Ideas'!$D$2:$D$24,$A5,'All 23 Ideas'!$W$2:$W$24,"Dental Hospital")</f>
        <v/>
      </c>
      <c r="I5" s="12">
        <f>COUNTIFS('All 23 Ideas'!$D$2:$D$24,$A5,'All 23 Ideas'!$W$2:$W$24,"Pharmacy")</f>
        <v/>
      </c>
      <c r="J5" s="12">
        <f>COUNTIFS('All 23 Ideas'!$D$2:$D$24,$A5,'All 23 Ideas'!$W$2:$W$24,"Procurement")</f>
        <v/>
      </c>
      <c r="K5" s="4" t="inlineStr">
        <is>
          <t>c55831f9</t>
        </is>
      </c>
    </row>
    <row r="6">
      <c r="A6" s="4" t="inlineStr">
        <is>
          <t>MOURIESWARAN A</t>
        </is>
      </c>
      <c r="B6" s="12">
        <f>COUNTIF('All 23 Ideas'!$D$2:$D$24,$A6)</f>
        <v/>
      </c>
      <c r="C6" s="12">
        <f>COUNTIFS('All 23 Ideas'!$D$2:$D$24,$A6,'All 23 Ideas'!$U$2:$U$24,"Master")</f>
        <v/>
      </c>
      <c r="D6" s="12">
        <f>COUNTIFS('All 23 Ideas'!$D$2:$D$24,$A6,'All 23 Ideas'!$U$2:$U$24,"Duplicate")+COUNTIFS('All 23 Ideas'!$D$2:$D$24,$A6,'All 23 Ideas'!$U$2:$U$24,"Weaker version")</f>
        <v/>
      </c>
      <c r="E6" s="12">
        <f>COUNTIFS('All 23 Ideas'!$D$2:$D$24,$A6,'All 23 Ideas'!$U$2:$U$24,"Not pursued")</f>
        <v/>
      </c>
      <c r="F6" s="12">
        <f>COUNTIFS('All 23 Ideas'!$D$2:$D$24,$A6,'All 23 Ideas'!$H$2:$H$24,"Yes")</f>
        <v/>
      </c>
      <c r="G6" s="12">
        <f>COUNTIFS('All 23 Ideas'!$D$2:$D$24,$A6,'All 23 Ideas'!$W$2:$W$24,"COE")</f>
        <v/>
      </c>
      <c r="H6" s="12">
        <f>COUNTIFS('All 23 Ideas'!$D$2:$D$24,$A6,'All 23 Ideas'!$W$2:$W$24,"Dental Hospital")</f>
        <v/>
      </c>
      <c r="I6" s="12">
        <f>COUNTIFS('All 23 Ideas'!$D$2:$D$24,$A6,'All 23 Ideas'!$W$2:$W$24,"Pharmacy")</f>
        <v/>
      </c>
      <c r="J6" s="12">
        <f>COUNTIFS('All 23 Ideas'!$D$2:$D$24,$A6,'All 23 Ideas'!$W$2:$W$24,"Procurement")</f>
        <v/>
      </c>
      <c r="K6" s="4" t="inlineStr">
        <is>
          <t>98a8204e</t>
        </is>
      </c>
    </row>
    <row r="7">
      <c r="A7" s="4" t="inlineStr">
        <is>
          <t>RUBAN R</t>
        </is>
      </c>
      <c r="B7" s="12">
        <f>COUNTIF('All 23 Ideas'!$D$2:$D$24,$A7)</f>
        <v/>
      </c>
      <c r="C7" s="12">
        <f>COUNTIFS('All 23 Ideas'!$D$2:$D$24,$A7,'All 23 Ideas'!$U$2:$U$24,"Master")</f>
        <v/>
      </c>
      <c r="D7" s="12">
        <f>COUNTIFS('All 23 Ideas'!$D$2:$D$24,$A7,'All 23 Ideas'!$U$2:$U$24,"Duplicate")+COUNTIFS('All 23 Ideas'!$D$2:$D$24,$A7,'All 23 Ideas'!$U$2:$U$24,"Weaker version")</f>
        <v/>
      </c>
      <c r="E7" s="12">
        <f>COUNTIFS('All 23 Ideas'!$D$2:$D$24,$A7,'All 23 Ideas'!$U$2:$U$24,"Not pursued")</f>
        <v/>
      </c>
      <c r="F7" s="12">
        <f>COUNTIFS('All 23 Ideas'!$D$2:$D$24,$A7,'All 23 Ideas'!$H$2:$H$24,"Yes")</f>
        <v/>
      </c>
      <c r="G7" s="12">
        <f>COUNTIFS('All 23 Ideas'!$D$2:$D$24,$A7,'All 23 Ideas'!$W$2:$W$24,"COE")</f>
        <v/>
      </c>
      <c r="H7" s="12">
        <f>COUNTIFS('All 23 Ideas'!$D$2:$D$24,$A7,'All 23 Ideas'!$W$2:$W$24,"Dental Hospital")</f>
        <v/>
      </c>
      <c r="I7" s="12">
        <f>COUNTIFS('All 23 Ideas'!$D$2:$D$24,$A7,'All 23 Ideas'!$W$2:$W$24,"Pharmacy")</f>
        <v/>
      </c>
      <c r="J7" s="12">
        <f>COUNTIFS('All 23 Ideas'!$D$2:$D$24,$A7,'All 23 Ideas'!$W$2:$W$24,"Procurement")</f>
        <v/>
      </c>
      <c r="K7" s="4" t="inlineStr">
        <is>
          <t>2db88fe5, 7793da9e, c913913b</t>
        </is>
      </c>
    </row>
    <row r="8">
      <c r="A8" s="4" t="inlineStr">
        <is>
          <t>SARANPRIYA R</t>
        </is>
      </c>
      <c r="B8" s="12">
        <f>COUNTIF('All 23 Ideas'!$D$2:$D$24,$A8)</f>
        <v/>
      </c>
      <c r="C8" s="12">
        <f>COUNTIFS('All 23 Ideas'!$D$2:$D$24,$A8,'All 23 Ideas'!$U$2:$U$24,"Master")</f>
        <v/>
      </c>
      <c r="D8" s="12">
        <f>COUNTIFS('All 23 Ideas'!$D$2:$D$24,$A8,'All 23 Ideas'!$U$2:$U$24,"Duplicate")+COUNTIFS('All 23 Ideas'!$D$2:$D$24,$A8,'All 23 Ideas'!$U$2:$U$24,"Weaker version")</f>
        <v/>
      </c>
      <c r="E8" s="12">
        <f>COUNTIFS('All 23 Ideas'!$D$2:$D$24,$A8,'All 23 Ideas'!$U$2:$U$24,"Not pursued")</f>
        <v/>
      </c>
      <c r="F8" s="12">
        <f>COUNTIFS('All 23 Ideas'!$D$2:$D$24,$A8,'All 23 Ideas'!$H$2:$H$24,"Yes")</f>
        <v/>
      </c>
      <c r="G8" s="12">
        <f>COUNTIFS('All 23 Ideas'!$D$2:$D$24,$A8,'All 23 Ideas'!$W$2:$W$24,"COE")</f>
        <v/>
      </c>
      <c r="H8" s="12">
        <f>COUNTIFS('All 23 Ideas'!$D$2:$D$24,$A8,'All 23 Ideas'!$W$2:$W$24,"Dental Hospital")</f>
        <v/>
      </c>
      <c r="I8" s="12">
        <f>COUNTIFS('All 23 Ideas'!$D$2:$D$24,$A8,'All 23 Ideas'!$W$2:$W$24,"Pharmacy")</f>
        <v/>
      </c>
      <c r="J8" s="12">
        <f>COUNTIFS('All 23 Ideas'!$D$2:$D$24,$A8,'All 23 Ideas'!$W$2:$W$24,"Procurement")</f>
        <v/>
      </c>
      <c r="K8" s="4" t="inlineStr">
        <is>
          <t>99f3eb6c</t>
        </is>
      </c>
    </row>
    <row r="9">
      <c r="A9" s="4" t="inlineStr">
        <is>
          <t>SARANYA P</t>
        </is>
      </c>
      <c r="B9" s="12">
        <f>COUNTIF('All 23 Ideas'!$D$2:$D$24,$A9)</f>
        <v/>
      </c>
      <c r="C9" s="12">
        <f>COUNTIFS('All 23 Ideas'!$D$2:$D$24,$A9,'All 23 Ideas'!$U$2:$U$24,"Master")</f>
        <v/>
      </c>
      <c r="D9" s="12">
        <f>COUNTIFS('All 23 Ideas'!$D$2:$D$24,$A9,'All 23 Ideas'!$U$2:$U$24,"Duplicate")+COUNTIFS('All 23 Ideas'!$D$2:$D$24,$A9,'All 23 Ideas'!$U$2:$U$24,"Weaker version")</f>
        <v/>
      </c>
      <c r="E9" s="12">
        <f>COUNTIFS('All 23 Ideas'!$D$2:$D$24,$A9,'All 23 Ideas'!$U$2:$U$24,"Not pursued")</f>
        <v/>
      </c>
      <c r="F9" s="12">
        <f>COUNTIFS('All 23 Ideas'!$D$2:$D$24,$A9,'All 23 Ideas'!$H$2:$H$24,"Yes")</f>
        <v/>
      </c>
      <c r="G9" s="12">
        <f>COUNTIFS('All 23 Ideas'!$D$2:$D$24,$A9,'All 23 Ideas'!$W$2:$W$24,"COE")</f>
        <v/>
      </c>
      <c r="H9" s="12">
        <f>COUNTIFS('All 23 Ideas'!$D$2:$D$24,$A9,'All 23 Ideas'!$W$2:$W$24,"Dental Hospital")</f>
        <v/>
      </c>
      <c r="I9" s="12">
        <f>COUNTIFS('All 23 Ideas'!$D$2:$D$24,$A9,'All 23 Ideas'!$W$2:$W$24,"Pharmacy")</f>
        <v/>
      </c>
      <c r="J9" s="12">
        <f>COUNTIFS('All 23 Ideas'!$D$2:$D$24,$A9,'All 23 Ideas'!$W$2:$W$24,"Procurement")</f>
        <v/>
      </c>
      <c r="K9" s="4" t="inlineStr">
        <is>
          <t>bd51d5b5</t>
        </is>
      </c>
    </row>
    <row r="10">
      <c r="A10" s="4" t="inlineStr">
        <is>
          <t>SAVITHA K</t>
        </is>
      </c>
      <c r="B10" s="12">
        <f>COUNTIF('All 23 Ideas'!$D$2:$D$24,$A10)</f>
        <v/>
      </c>
      <c r="C10" s="12">
        <f>COUNTIFS('All 23 Ideas'!$D$2:$D$24,$A10,'All 23 Ideas'!$U$2:$U$24,"Master")</f>
        <v/>
      </c>
      <c r="D10" s="12">
        <f>COUNTIFS('All 23 Ideas'!$D$2:$D$24,$A10,'All 23 Ideas'!$U$2:$U$24,"Duplicate")+COUNTIFS('All 23 Ideas'!$D$2:$D$24,$A10,'All 23 Ideas'!$U$2:$U$24,"Weaker version")</f>
        <v/>
      </c>
      <c r="E10" s="12">
        <f>COUNTIFS('All 23 Ideas'!$D$2:$D$24,$A10,'All 23 Ideas'!$U$2:$U$24,"Not pursued")</f>
        <v/>
      </c>
      <c r="F10" s="12">
        <f>COUNTIFS('All 23 Ideas'!$D$2:$D$24,$A10,'All 23 Ideas'!$H$2:$H$24,"Yes")</f>
        <v/>
      </c>
      <c r="G10" s="12">
        <f>COUNTIFS('All 23 Ideas'!$D$2:$D$24,$A10,'All 23 Ideas'!$W$2:$W$24,"COE")</f>
        <v/>
      </c>
      <c r="H10" s="12">
        <f>COUNTIFS('All 23 Ideas'!$D$2:$D$24,$A10,'All 23 Ideas'!$W$2:$W$24,"Dental Hospital")</f>
        <v/>
      </c>
      <c r="I10" s="12">
        <f>COUNTIFS('All 23 Ideas'!$D$2:$D$24,$A10,'All 23 Ideas'!$W$2:$W$24,"Pharmacy")</f>
        <v/>
      </c>
      <c r="J10" s="12">
        <f>COUNTIFS('All 23 Ideas'!$D$2:$D$24,$A10,'All 23 Ideas'!$W$2:$W$24,"Procurement")</f>
        <v/>
      </c>
      <c r="K10" s="4" t="inlineStr">
        <is>
          <t>c4ebb142, f255de95, b5428ff8</t>
        </is>
      </c>
    </row>
    <row r="11">
      <c r="A11" s="4" t="inlineStr">
        <is>
          <t>SELVAMANI S</t>
        </is>
      </c>
      <c r="B11" s="12">
        <f>COUNTIF('All 23 Ideas'!$D$2:$D$24,$A11)</f>
        <v/>
      </c>
      <c r="C11" s="12">
        <f>COUNTIFS('All 23 Ideas'!$D$2:$D$24,$A11,'All 23 Ideas'!$U$2:$U$24,"Master")</f>
        <v/>
      </c>
      <c r="D11" s="12">
        <f>COUNTIFS('All 23 Ideas'!$D$2:$D$24,$A11,'All 23 Ideas'!$U$2:$U$24,"Duplicate")+COUNTIFS('All 23 Ideas'!$D$2:$D$24,$A11,'All 23 Ideas'!$U$2:$U$24,"Weaker version")</f>
        <v/>
      </c>
      <c r="E11" s="12">
        <f>COUNTIFS('All 23 Ideas'!$D$2:$D$24,$A11,'All 23 Ideas'!$U$2:$U$24,"Not pursued")</f>
        <v/>
      </c>
      <c r="F11" s="12">
        <f>COUNTIFS('All 23 Ideas'!$D$2:$D$24,$A11,'All 23 Ideas'!$H$2:$H$24,"Yes")</f>
        <v/>
      </c>
      <c r="G11" s="12">
        <f>COUNTIFS('All 23 Ideas'!$D$2:$D$24,$A11,'All 23 Ideas'!$W$2:$W$24,"COE")</f>
        <v/>
      </c>
      <c r="H11" s="12">
        <f>COUNTIFS('All 23 Ideas'!$D$2:$D$24,$A11,'All 23 Ideas'!$W$2:$W$24,"Dental Hospital")</f>
        <v/>
      </c>
      <c r="I11" s="12">
        <f>COUNTIFS('All 23 Ideas'!$D$2:$D$24,$A11,'All 23 Ideas'!$W$2:$W$24,"Pharmacy")</f>
        <v/>
      </c>
      <c r="J11" s="12">
        <f>COUNTIFS('All 23 Ideas'!$D$2:$D$24,$A11,'All 23 Ideas'!$W$2:$W$24,"Procurement")</f>
        <v/>
      </c>
      <c r="K11" s="4" t="inlineStr">
        <is>
          <t>04c4c414, a301440c, 2b02c1b6</t>
        </is>
      </c>
    </row>
    <row r="12">
      <c r="A12" s="4" t="inlineStr">
        <is>
          <t>SHRIYA JULIET D</t>
        </is>
      </c>
      <c r="B12" s="12">
        <f>COUNTIF('All 23 Ideas'!$D$2:$D$24,$A12)</f>
        <v/>
      </c>
      <c r="C12" s="12">
        <f>COUNTIFS('All 23 Ideas'!$D$2:$D$24,$A12,'All 23 Ideas'!$U$2:$U$24,"Master")</f>
        <v/>
      </c>
      <c r="D12" s="12">
        <f>COUNTIFS('All 23 Ideas'!$D$2:$D$24,$A12,'All 23 Ideas'!$U$2:$U$24,"Duplicate")+COUNTIFS('All 23 Ideas'!$D$2:$D$24,$A12,'All 23 Ideas'!$U$2:$U$24,"Weaker version")</f>
        <v/>
      </c>
      <c r="E12" s="12">
        <f>COUNTIFS('All 23 Ideas'!$D$2:$D$24,$A12,'All 23 Ideas'!$U$2:$U$24,"Not pursued")</f>
        <v/>
      </c>
      <c r="F12" s="12">
        <f>COUNTIFS('All 23 Ideas'!$D$2:$D$24,$A12,'All 23 Ideas'!$H$2:$H$24,"Yes")</f>
        <v/>
      </c>
      <c r="G12" s="12">
        <f>COUNTIFS('All 23 Ideas'!$D$2:$D$24,$A12,'All 23 Ideas'!$W$2:$W$24,"COE")</f>
        <v/>
      </c>
      <c r="H12" s="12">
        <f>COUNTIFS('All 23 Ideas'!$D$2:$D$24,$A12,'All 23 Ideas'!$W$2:$W$24,"Dental Hospital")</f>
        <v/>
      </c>
      <c r="I12" s="12">
        <f>COUNTIFS('All 23 Ideas'!$D$2:$D$24,$A12,'All 23 Ideas'!$W$2:$W$24,"Pharmacy")</f>
        <v/>
      </c>
      <c r="J12" s="12">
        <f>COUNTIFS('All 23 Ideas'!$D$2:$D$24,$A12,'All 23 Ideas'!$W$2:$W$24,"Procurement")</f>
        <v/>
      </c>
      <c r="K12" s="4" t="inlineStr">
        <is>
          <t>992e5458, 3aad071d</t>
        </is>
      </c>
    </row>
    <row r="13">
      <c r="A13" s="4" t="inlineStr">
        <is>
          <t>SRIKANTH K</t>
        </is>
      </c>
      <c r="B13" s="12">
        <f>COUNTIF('All 23 Ideas'!$D$2:$D$24,$A13)</f>
        <v/>
      </c>
      <c r="C13" s="12">
        <f>COUNTIFS('All 23 Ideas'!$D$2:$D$24,$A13,'All 23 Ideas'!$U$2:$U$24,"Master")</f>
        <v/>
      </c>
      <c r="D13" s="12">
        <f>COUNTIFS('All 23 Ideas'!$D$2:$D$24,$A13,'All 23 Ideas'!$U$2:$U$24,"Duplicate")+COUNTIFS('All 23 Ideas'!$D$2:$D$24,$A13,'All 23 Ideas'!$U$2:$U$24,"Weaker version")</f>
        <v/>
      </c>
      <c r="E13" s="12">
        <f>COUNTIFS('All 23 Ideas'!$D$2:$D$24,$A13,'All 23 Ideas'!$U$2:$U$24,"Not pursued")</f>
        <v/>
      </c>
      <c r="F13" s="12">
        <f>COUNTIFS('All 23 Ideas'!$D$2:$D$24,$A13,'All 23 Ideas'!$H$2:$H$24,"Yes")</f>
        <v/>
      </c>
      <c r="G13" s="12">
        <f>COUNTIFS('All 23 Ideas'!$D$2:$D$24,$A13,'All 23 Ideas'!$W$2:$W$24,"COE")</f>
        <v/>
      </c>
      <c r="H13" s="12">
        <f>COUNTIFS('All 23 Ideas'!$D$2:$D$24,$A13,'All 23 Ideas'!$W$2:$W$24,"Dental Hospital")</f>
        <v/>
      </c>
      <c r="I13" s="12">
        <f>COUNTIFS('All 23 Ideas'!$D$2:$D$24,$A13,'All 23 Ideas'!$W$2:$W$24,"Pharmacy")</f>
        <v/>
      </c>
      <c r="J13" s="12">
        <f>COUNTIFS('All 23 Ideas'!$D$2:$D$24,$A13,'All 23 Ideas'!$W$2:$W$24,"Procurement")</f>
        <v/>
      </c>
      <c r="K13" s="4" t="inlineStr">
        <is>
          <t>89570ea6</t>
        </is>
      </c>
    </row>
    <row r="14">
      <c r="A14" s="4" t="inlineStr">
        <is>
          <t>VAISHNAVI P</t>
        </is>
      </c>
      <c r="B14" s="12">
        <f>COUNTIF('All 23 Ideas'!$D$2:$D$24,$A14)</f>
        <v/>
      </c>
      <c r="C14" s="12">
        <f>COUNTIFS('All 23 Ideas'!$D$2:$D$24,$A14,'All 23 Ideas'!$U$2:$U$24,"Master")</f>
        <v/>
      </c>
      <c r="D14" s="12">
        <f>COUNTIFS('All 23 Ideas'!$D$2:$D$24,$A14,'All 23 Ideas'!$U$2:$U$24,"Duplicate")+COUNTIFS('All 23 Ideas'!$D$2:$D$24,$A14,'All 23 Ideas'!$U$2:$U$24,"Weaker version")</f>
        <v/>
      </c>
      <c r="E14" s="12">
        <f>COUNTIFS('All 23 Ideas'!$D$2:$D$24,$A14,'All 23 Ideas'!$U$2:$U$24,"Not pursued")</f>
        <v/>
      </c>
      <c r="F14" s="12">
        <f>COUNTIFS('All 23 Ideas'!$D$2:$D$24,$A14,'All 23 Ideas'!$H$2:$H$24,"Yes")</f>
        <v/>
      </c>
      <c r="G14" s="12">
        <f>COUNTIFS('All 23 Ideas'!$D$2:$D$24,$A14,'All 23 Ideas'!$W$2:$W$24,"COE")</f>
        <v/>
      </c>
      <c r="H14" s="12">
        <f>COUNTIFS('All 23 Ideas'!$D$2:$D$24,$A14,'All 23 Ideas'!$W$2:$W$24,"Dental Hospital")</f>
        <v/>
      </c>
      <c r="I14" s="12">
        <f>COUNTIFS('All 23 Ideas'!$D$2:$D$24,$A14,'All 23 Ideas'!$W$2:$W$24,"Pharmacy")</f>
        <v/>
      </c>
      <c r="J14" s="12">
        <f>COUNTIFS('All 23 Ideas'!$D$2:$D$24,$A14,'All 23 Ideas'!$W$2:$W$24,"Procurement")</f>
        <v/>
      </c>
      <c r="K14" s="4" t="inlineStr">
        <is>
          <t>dd3afcf9</t>
        </is>
      </c>
    </row>
    <row r="15">
      <c r="A15" s="13" t="inlineStr">
        <is>
          <t>Total</t>
        </is>
      </c>
      <c r="B15" s="14">
        <f>SUM(B2:B14)</f>
        <v/>
      </c>
      <c r="C15" s="14">
        <f>SUM(C2:C14)</f>
        <v/>
      </c>
      <c r="D15" s="14">
        <f>SUM(D2:D14)</f>
        <v/>
      </c>
      <c r="E15" s="14">
        <f>SUM(E2:E14)</f>
        <v/>
      </c>
      <c r="F15" s="14">
        <f>SUM(F2:F14)</f>
        <v/>
      </c>
      <c r="G15" s="14">
        <f>SUM(G2:G14)</f>
        <v/>
      </c>
      <c r="H15" s="14">
        <f>SUM(H2:H14)</f>
        <v/>
      </c>
      <c r="I15" s="14">
        <f>SUM(I2:I14)</f>
        <v/>
      </c>
      <c r="J15" s="14">
        <f>SUM(J2:J14)</f>
        <v/>
      </c>
      <c r="K15" s="13" t="n"/>
    </row>
  </sheetData>
  <autoFilter ref="A1:K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8" customWidth="1" min="3" max="3"/>
    <col width="12" customWidth="1" min="4" max="4"/>
    <col width="20" customWidth="1" min="5" max="5"/>
    <col width="16" customWidth="1" min="6" max="6"/>
    <col width="30" customWidth="1" min="7" max="7"/>
    <col width="26" customWidth="1" min="8" max="8"/>
    <col width="30" customWidth="1" min="9" max="9"/>
    <col width="70" customWidth="1" min="10" max="10"/>
  </cols>
  <sheetData>
    <row r="1" ht="32" customHeight="1">
      <c r="A1" s="1" t="inlineStr">
        <is>
          <t>Group</t>
        </is>
      </c>
      <c r="B1" s="1" t="inlineStr">
        <is>
          <t>Distinct idea</t>
        </is>
      </c>
      <c r="C1" s="1" t="inlineStr">
        <is>
          <t>Cards</t>
        </is>
      </c>
      <c r="D1" s="1" t="inlineStr">
        <is>
          <t>Master ID</t>
        </is>
      </c>
      <c r="E1" s="1" t="inlineStr">
        <is>
          <t>Master filed by</t>
        </is>
      </c>
      <c r="F1" s="1" t="inlineStr">
        <is>
          <t>Reassign to</t>
        </is>
      </c>
      <c r="G1" s="1" t="inlineStr">
        <is>
          <t>Owner to reassign to</t>
        </is>
      </c>
      <c r="H1" s="1" t="inlineStr">
        <is>
          <t>Verdict</t>
        </is>
      </c>
      <c r="I1" s="1" t="inlineStr">
        <is>
          <t>Existing MyJKKN module</t>
        </is>
      </c>
      <c r="J1" s="1" t="inlineStr">
        <is>
          <t>MyJKKN solution / suggestion</t>
        </is>
      </c>
    </row>
    <row r="2" ht="75" customHeight="1">
      <c r="A2" s="4" t="inlineStr">
        <is>
          <t>A</t>
        </is>
      </c>
      <c r="B2" s="4" t="inlineStr">
        <is>
          <t>Certificate / transcript / mark sheet delays</t>
        </is>
      </c>
      <c r="C2" s="4">
        <f>COUNTIF('All 23 Ideas'!$S$2:$S$24,$A2)</f>
        <v/>
      </c>
      <c r="D2" s="4" t="inlineStr">
        <is>
          <t>98a8204e</t>
        </is>
      </c>
      <c r="E2" s="4" t="inlineStr">
        <is>
          <t>MOURIESWARAN A</t>
        </is>
      </c>
      <c r="F2" s="8" t="inlineStr">
        <is>
          <t>COE</t>
        </is>
      </c>
      <c r="G2" s="4" t="inlineStr">
        <is>
          <t>No COE owner on the board (coe role: Silambarasan V, COE Official, COE JKKNCAS / S. Umavathi)</t>
        </is>
      </c>
      <c r="H2" s="4" t="inlineStr">
        <is>
          <t>Approve</t>
        </is>
      </c>
      <c r="I2" s="4" t="inlineStr">
        <is>
          <t>Service Requests (/service-requests)</t>
        </is>
      </c>
      <c r="J2" s="4" t="inlineStr">
        <is>
          <t>Already live: online request, approval workflow, timeline, Bonafide / Course Completion PDF. Gaps: (1) record fulfilment - only 4 of 988 marked fulfilled; (2) notify the learner on approved / ready / rejected; (3) turnaround target + overdue filter; (4) enable certificate PDFs on all live certificate types; (5) add COE service types for transcript, duplicate / consolidated mark sheet, provisional certificate.</t>
        </is>
      </c>
    </row>
    <row r="3" ht="75" customHeight="1">
      <c r="A3" s="4" t="inlineStr">
        <is>
          <t>B</t>
        </is>
      </c>
      <c r="B3" s="4" t="inlineStr">
        <is>
          <t>Dental - records delay, patient load, space, equipment (broad)</t>
        </is>
      </c>
      <c r="C3" s="4">
        <f>COUNTIF('All 23 Ideas'!$S$2:$S$24,$A3)</f>
        <v/>
      </c>
      <c r="D3" s="4" t="inlineStr">
        <is>
          <t>dd3afcf9</t>
        </is>
      </c>
      <c r="E3" s="4" t="inlineStr">
        <is>
          <t>VAISHNAVI P</t>
        </is>
      </c>
      <c r="F3" s="9" t="inlineStr">
        <is>
          <t>Dental Hospital</t>
        </is>
      </c>
      <c r="G3" s="4" t="inlineStr">
        <is>
          <t>Dhinesh Kumar C</t>
        </is>
      </c>
      <c r="H3" s="4" t="inlineStr">
        <is>
          <t>Send back to split</t>
        </is>
      </c>
      <c r="I3" s="4" t="inlineStr">
        <is>
          <t>None (no patient module)</t>
        </is>
      </c>
      <c r="J3" s="4" t="inlineStr">
        <is>
          <t>Too broad to build. Ask the author to re-file as one card per problem with one number each. Appointment delays are covered by c913913b and medicine expiry by 3aad071d.</t>
        </is>
      </c>
    </row>
    <row r="4" ht="75" customHeight="1">
      <c r="A4" s="4" t="inlineStr">
        <is>
          <t>C</t>
        </is>
      </c>
      <c r="B4" s="4" t="inlineStr">
        <is>
          <t>Dental - token / queue system for patient crowd</t>
        </is>
      </c>
      <c r="C4" s="4">
        <f>COUNTIF('All 23 Ideas'!$S$2:$S$24,$A4)</f>
        <v/>
      </c>
      <c r="D4" s="4" t="inlineStr">
        <is>
          <t>b5428ff8</t>
        </is>
      </c>
      <c r="E4" s="4" t="inlineStr">
        <is>
          <t>SAVITHA K</t>
        </is>
      </c>
      <c r="F4" s="9" t="inlineStr">
        <is>
          <t>Dental Hospital</t>
        </is>
      </c>
      <c r="G4" s="4" t="inlineStr">
        <is>
          <t>Dhinesh Kumar C</t>
        </is>
      </c>
      <c r="H4" s="4" t="inlineStr">
        <is>
          <t>Merge into D and pilot together</t>
        </is>
      </c>
      <c r="I4" s="4" t="inlineStr">
        <is>
          <t>None (new build)</t>
        </is>
      </c>
      <c r="J4" s="4" t="inlineStr">
        <is>
          <t>Run as one pilot with the appointment card c913913b: slots per chair, token for walk-ins. Build a module only if the pilot reduces waiting time.</t>
        </is>
      </c>
    </row>
    <row r="5" ht="75" customHeight="1">
      <c r="A5" s="4" t="inlineStr">
        <is>
          <t>D</t>
        </is>
      </c>
      <c r="B5" s="4" t="inlineStr">
        <is>
          <t>Dental - appointment reminders + follow-up tracking</t>
        </is>
      </c>
      <c r="C5" s="4">
        <f>COUNTIF('All 23 Ideas'!$S$2:$S$24,$A5)</f>
        <v/>
      </c>
      <c r="D5" s="4" t="inlineStr">
        <is>
          <t>c913913b</t>
        </is>
      </c>
      <c r="E5" s="4" t="inlineStr">
        <is>
          <t>RUBAN R</t>
        </is>
      </c>
      <c r="F5" s="9" t="inlineStr">
        <is>
          <t>Dental Hospital</t>
        </is>
      </c>
      <c r="G5" s="4" t="inlineStr">
        <is>
          <t>Dhinesh Kumar C</t>
        </is>
      </c>
      <c r="H5" s="4" t="inlineStr">
        <is>
          <t>Approve as pilot</t>
        </is>
      </c>
      <c r="I5" s="4" t="inlineStr">
        <is>
          <t>WhatsApp integration (reminders only); no appointment module</t>
        </is>
      </c>
      <c r="J5" s="4" t="inlineStr">
        <is>
          <t>Four-week pilot in one department: shared appointment sheet, reminders through the existing MyJKKN WhatsApp integration. Measure no-shows and waiting time before and after.</t>
        </is>
      </c>
    </row>
    <row r="6" ht="75" customHeight="1">
      <c r="A6" s="4" t="inlineStr">
        <is>
          <t>E</t>
        </is>
      </c>
      <c r="B6" s="4" t="inlineStr">
        <is>
          <t>Dental - medicine stock + expiry register</t>
        </is>
      </c>
      <c r="C6" s="4">
        <f>COUNTIF('All 23 Ideas'!$S$2:$S$24,$A6)</f>
        <v/>
      </c>
      <c r="D6" s="4" t="inlineStr">
        <is>
          <t>3aad071d</t>
        </is>
      </c>
      <c r="E6" s="4" t="inlineStr">
        <is>
          <t>SHRIYA JULIET D</t>
        </is>
      </c>
      <c r="F6" s="9" t="inlineStr">
        <is>
          <t>Dental Hospital</t>
        </is>
      </c>
      <c r="G6" s="4" t="inlineStr">
        <is>
          <t>Dhinesh Kumar C</t>
        </is>
      </c>
      <c r="H6" s="4" t="inlineStr">
        <is>
          <t>Approve</t>
        </is>
      </c>
      <c r="I6" s="4" t="inlineStr">
        <is>
          <t>Inventory (/ims) - expiry tracking</t>
        </is>
      </c>
      <c r="J6" s="4" t="inlineStr">
        <is>
          <t>Already built. Switch on expiry tracking for all dental medicine items, enter expiry at goods receipt, add a 30 / 60 / 90-day near-expiry alert. Today 0 of 56 Dental Student Store batches carry an expiry date.</t>
        </is>
      </c>
    </row>
    <row r="7" ht="75" customHeight="1">
      <c r="A7" s="4" t="inlineStr">
        <is>
          <t>F</t>
        </is>
      </c>
      <c r="B7" s="4" t="inlineStr">
        <is>
          <t>Lab - dispose expired chemicals, reorganise lab</t>
        </is>
      </c>
      <c r="C7" s="4">
        <f>COUNTIF('All 23 Ideas'!$S$2:$S$24,$A7)</f>
        <v/>
      </c>
      <c r="D7" s="4" t="inlineStr">
        <is>
          <t>c4ebb142</t>
        </is>
      </c>
      <c r="E7" s="4" t="inlineStr">
        <is>
          <t>SAVITHA K</t>
        </is>
      </c>
      <c r="F7" s="6" t="inlineStr">
        <is>
          <t>Pharmacy</t>
        </is>
      </c>
      <c r="G7" s="4" t="inlineStr">
        <is>
          <t>Rajkumar J</t>
        </is>
      </c>
      <c r="H7" s="4" t="inlineStr">
        <is>
          <t>Approve</t>
        </is>
      </c>
      <c r="I7" s="4" t="inlineStr">
        <is>
          <t>Inventory (/ims) - expiry tracking</t>
        </is>
      </c>
      <c r="J7" s="4" t="inlineStr">
        <is>
          <t>Physical disposal is a safety action for the Pharmacy principal. In MyJKKN: track chemical expiry in Inventory. 3 JKKN Pharmacy batches are already past expiry and still in stock.</t>
        </is>
      </c>
    </row>
    <row r="8" ht="75" customHeight="1">
      <c r="A8" s="4" t="inlineStr">
        <is>
          <t>G</t>
        </is>
      </c>
      <c r="B8" s="4" t="inlineStr">
        <is>
          <t>Lab - flooring, fans, lighting, ambience</t>
        </is>
      </c>
      <c r="C8" s="4">
        <f>COUNTIF('All 23 Ideas'!$S$2:$S$24,$A8)</f>
        <v/>
      </c>
      <c r="D8" s="4" t="inlineStr">
        <is>
          <t>f255de95</t>
        </is>
      </c>
      <c r="E8" s="4" t="inlineStr">
        <is>
          <t>SAVITHA K</t>
        </is>
      </c>
      <c r="F8" s="6" t="inlineStr">
        <is>
          <t>Pharmacy</t>
        </is>
      </c>
      <c r="G8" s="4" t="inlineStr">
        <is>
          <t>Rajkumar J</t>
        </is>
      </c>
      <c r="H8" s="4" t="inlineStr">
        <is>
          <t>Hold for details</t>
        </is>
      </c>
      <c r="I8" s="4" t="inlineStr">
        <is>
          <t>Resource Management (/resource-management) - maintenance</t>
        </is>
      </c>
      <c r="J8" s="4" t="inlineStr">
        <is>
          <t>Facilities work, not software. Log as a maintenance job once the lab is named, photographed and costed.</t>
        </is>
      </c>
    </row>
    <row r="9" ht="75" customHeight="1">
      <c r="A9" s="4" t="inlineStr">
        <is>
          <t>H</t>
        </is>
      </c>
      <c r="B9" s="4" t="inlineStr">
        <is>
          <t>Pharmacy - "lab visit not permitted" + flooring</t>
        </is>
      </c>
      <c r="C9" s="4">
        <f>COUNTIF('All 23 Ideas'!$S$2:$S$24,$A9)</f>
        <v/>
      </c>
      <c r="D9" s="4" t="inlineStr">
        <is>
          <t>99f3eb6c</t>
        </is>
      </c>
      <c r="E9" s="4" t="inlineStr">
        <is>
          <t>SARANPRIYA R</t>
        </is>
      </c>
      <c r="F9" s="6" t="inlineStr">
        <is>
          <t>Pharmacy</t>
        </is>
      </c>
      <c r="G9" s="4" t="inlineStr">
        <is>
          <t>Rajkumar J</t>
        </is>
      </c>
      <c r="H9" s="4" t="inlineStr">
        <is>
          <t>Not pursue</t>
        </is>
      </c>
      <c r="I9" s="4" t="inlineStr">
        <is>
          <t>None</t>
        </is>
      </c>
      <c r="J9" s="4" t="inlineStr">
        <is>
          <t>Problem and fix do not match. The real finding is that entry to the lab was refused - pass to the Pharmacy owner as a Gemba access issue.</t>
        </is>
      </c>
    </row>
    <row r="10" ht="75" customHeight="1">
      <c r="A10" s="4" t="inlineStr">
        <is>
          <t>I</t>
        </is>
      </c>
      <c r="B10" s="4" t="inlineStr">
        <is>
          <t>Pharmacy - barcode scan at dispensing</t>
        </is>
      </c>
      <c r="C10" s="4">
        <f>COUNTIF('All 23 Ideas'!$S$2:$S$24,$A10)</f>
        <v/>
      </c>
      <c r="D10" s="4" t="inlineStr">
        <is>
          <t>2db88fe5</t>
        </is>
      </c>
      <c r="E10" s="4" t="inlineStr">
        <is>
          <t>RUBAN R</t>
        </is>
      </c>
      <c r="F10" s="6" t="inlineStr">
        <is>
          <t>Pharmacy</t>
        </is>
      </c>
      <c r="G10" s="4" t="inlineStr">
        <is>
          <t>Rajkumar J</t>
        </is>
      </c>
      <c r="H10" s="4" t="inlineStr">
        <is>
          <t>Approve as pilot</t>
        </is>
      </c>
      <c r="I10" s="4" t="inlineStr">
        <is>
          <t>Inventory (/ims) - sales / POS (no barcode field yet)</t>
        </is>
      </c>
      <c r="J10" s="4" t="inlineStr">
        <is>
          <t>Enhancement to the Inventory sales screen plus labels and scanners. Collect the baseline first: 3 months of dispensing errors and a one-week waiting-time sample.</t>
        </is>
      </c>
    </row>
    <row r="11" ht="75" customHeight="1">
      <c r="A11" s="4" t="inlineStr">
        <is>
          <t>J</t>
        </is>
      </c>
      <c r="B11" s="4" t="inlineStr">
        <is>
          <t>Procurement - digital purchase request, approvals, vendor list</t>
        </is>
      </c>
      <c r="C11" s="4">
        <f>COUNTIF('All 23 Ideas'!$S$2:$S$24,$A11)</f>
        <v/>
      </c>
      <c r="D11" s="4" t="inlineStr">
        <is>
          <t>7793da9e</t>
        </is>
      </c>
      <c r="E11" s="4" t="inlineStr">
        <is>
          <t>RUBAN R</t>
        </is>
      </c>
      <c r="F11" s="10" t="inlineStr">
        <is>
          <t>Procurement</t>
        </is>
      </c>
      <c r="G11" s="4" t="inlineStr">
        <is>
          <t>Salini P</t>
        </is>
      </c>
      <c r="H11" s="4" t="inlineStr">
        <is>
          <t>Approve</t>
        </is>
      </c>
      <c r="I11" s="4" t="inlineStr">
        <is>
          <t>Procurement (/procurement)</t>
        </is>
      </c>
      <c r="J11" s="4" t="inlineStr">
        <is>
          <t>Already live: 38 requests, 31 RFQs, 36 quotations, 15 purchase orders. Gaps: 0 goods receipts and 0 vendor ratings. Make GRN mandatory to close a PO, start vendor ratings, enforce 3 quotations above a set amount, use reorder levels.</t>
        </is>
      </c>
    </row>
    <row r="12">
      <c r="B12" s="15" t="inlineStr">
        <is>
          <t>Total cards</t>
        </is>
      </c>
      <c r="C12" s="15">
        <f>SUM(C2:C11)</f>
        <v/>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8" customWidth="1" min="3" max="3"/>
    <col width="16" customWidth="1" min="4" max="4"/>
    <col width="20" customWidth="1" min="5" max="5"/>
    <col width="80" customWidth="1" min="6" max="6"/>
  </cols>
  <sheetData>
    <row r="1" ht="32" customHeight="1">
      <c r="A1" s="1" t="inlineStr">
        <is>
          <t>Reassign to</t>
        </is>
      </c>
      <c r="B1" s="1" t="inlineStr">
        <is>
          <t>Owner on the board</t>
        </is>
      </c>
      <c r="C1" s="1" t="inlineStr">
        <is>
          <t>Cards</t>
        </is>
      </c>
      <c r="D1" s="1" t="inlineStr">
        <is>
          <t>Masters to move</t>
        </is>
      </c>
      <c r="E1" s="1" t="inlineStr">
        <is>
          <t>Duplicates / not pursued to close</t>
        </is>
      </c>
      <c r="F1" s="1" t="inlineStr">
        <is>
          <t>Idea IDs</t>
        </is>
      </c>
    </row>
    <row r="2" ht="45" customHeight="1">
      <c r="A2" s="8" t="inlineStr">
        <is>
          <t>COE</t>
        </is>
      </c>
      <c r="B2" s="4" t="inlineStr">
        <is>
          <t>No COE owner on the board (coe role: Silambarasan V, COE Official, COE JKKNCAS / S. Umavathi)</t>
        </is>
      </c>
      <c r="C2" s="4">
        <f>COUNTIF('All 23 Ideas'!$W$2:$W$24,$A2)</f>
        <v/>
      </c>
      <c r="D2" s="4">
        <f>COUNTIFS('All 23 Ideas'!$W$2:$W$24,$A2,'All 23 Ideas'!$U$2:$U$24,"Master")</f>
        <v/>
      </c>
      <c r="E2" s="4">
        <f>C2-D2</f>
        <v/>
      </c>
      <c r="F2" s="4" t="inlineStr">
        <is>
          <t>98a8204e, c55831f9, de8c082c, 79dbcdab, 84cdd57b</t>
        </is>
      </c>
    </row>
    <row r="3" ht="45" customHeight="1">
      <c r="A3" s="9" t="inlineStr">
        <is>
          <t>Dental Hospital</t>
        </is>
      </c>
      <c r="B3" s="4" t="inlineStr">
        <is>
          <t>Dhinesh Kumar C</t>
        </is>
      </c>
      <c r="C3" s="4">
        <f>COUNTIF('All 23 Ideas'!$W$2:$W$24,$A3)</f>
        <v/>
      </c>
      <c r="D3" s="4">
        <f>COUNTIFS('All 23 Ideas'!$W$2:$W$24,$A3,'All 23 Ideas'!$U$2:$U$24,"Master")</f>
        <v/>
      </c>
      <c r="E3" s="4">
        <f>C3-D3</f>
        <v/>
      </c>
      <c r="F3" s="4" t="inlineStr">
        <is>
          <t>dd3afcf9, 89570ea6, 3aad071d, b5428ff8, 2b02c1b6, 9c1e4cb3, fef3462a, c913913b</t>
        </is>
      </c>
    </row>
    <row r="4" ht="45" customHeight="1">
      <c r="A4" s="6" t="inlineStr">
        <is>
          <t>Pharmacy</t>
        </is>
      </c>
      <c r="B4" s="4" t="inlineStr">
        <is>
          <t>Rajkumar J</t>
        </is>
      </c>
      <c r="C4" s="4">
        <f>COUNTIF('All 23 Ideas'!$W$2:$W$24,$A4)</f>
        <v/>
      </c>
      <c r="D4" s="4">
        <f>COUNTIFS('All 23 Ideas'!$W$2:$W$24,$A4,'All 23 Ideas'!$U$2:$U$24,"Master")</f>
        <v/>
      </c>
      <c r="E4" s="4">
        <f>C4-D4</f>
        <v/>
      </c>
      <c r="F4" s="4" t="inlineStr">
        <is>
          <t>c4ebb142, 04c4c414, f255de95, a301440c, 99f3eb6c, bd51d5b5, 2db88fe5, 133d6b0c</t>
        </is>
      </c>
    </row>
    <row r="5" ht="45" customHeight="1">
      <c r="A5" s="10" t="inlineStr">
        <is>
          <t>Procurement</t>
        </is>
      </c>
      <c r="B5" s="4" t="inlineStr">
        <is>
          <t>Salini P</t>
        </is>
      </c>
      <c r="C5" s="4">
        <f>COUNTIF('All 23 Ideas'!$W$2:$W$24,$A5)</f>
        <v/>
      </c>
      <c r="D5" s="4">
        <f>COUNTIFS('All 23 Ideas'!$W$2:$W$24,$A5,'All 23 Ideas'!$U$2:$U$24,"Master")</f>
        <v/>
      </c>
      <c r="E5" s="4">
        <f>C5-D5</f>
        <v/>
      </c>
      <c r="F5" s="4" t="inlineStr">
        <is>
          <t>992e5458, 7793da9e</t>
        </is>
      </c>
    </row>
    <row r="6">
      <c r="A6" s="15" t="inlineStr">
        <is>
          <t>Total</t>
        </is>
      </c>
      <c r="B6" s="15" t="n"/>
      <c r="C6" s="15">
        <f>SUM(C2:C5)</f>
        <v/>
      </c>
      <c r="D6" s="15">
        <f>SUM(D2:D5)</f>
        <v/>
      </c>
      <c r="E6" s="15">
        <f>SUM(E2:E5)</f>
        <v/>
      </c>
      <c r="F6" s="15" t="n"/>
    </row>
    <row r="8">
      <c r="A8" s="16" t="inlineStr">
        <is>
          <t>Nothing has been changed on the board. Every row is a recommendation to apply by hand.</t>
        </is>
      </c>
    </row>
    <row r="9">
      <c r="A9" s="16" t="inlineStr">
        <is>
          <t>Assigning a person: open the card and use "Assign people".</t>
        </is>
      </c>
    </row>
    <row r="10">
      <c r="A10" s="16" t="inlineStr">
        <is>
          <t>Naming a COE owner for the area: /improvement-board/owners (needs CEO / CAO / EAO permission).</t>
        </is>
      </c>
    </row>
    <row r="11">
      <c r="A11" s="16" t="inlineStr">
        <is>
          <t>Moving a card to another area has no button on the board; it needs a manual database update or a new manager action.</t>
        </is>
      </c>
    </row>
  </sheetData>
  <autoFilter ref="A1:F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62" customWidth="1" min="2" max="2"/>
    <col width="10" customWidth="1" min="3" max="3"/>
    <col width="16" customWidth="1" min="4" max="4"/>
    <col width="58" customWidth="1" min="5" max="5"/>
  </cols>
  <sheetData>
    <row r="1" ht="32" customHeight="1">
      <c r="A1" s="1" t="inlineStr">
        <is>
          <t>Module</t>
        </is>
      </c>
      <c r="B1" s="1" t="inlineStr">
        <is>
          <t>Measure</t>
        </is>
      </c>
      <c r="C1" s="1" t="inlineStr">
        <is>
          <t>Value</t>
        </is>
      </c>
      <c r="D1" s="1" t="inlineStr">
        <is>
          <t>Relates to group</t>
        </is>
      </c>
      <c r="E1" s="1" t="inlineStr">
        <is>
          <t>Source</t>
        </is>
      </c>
    </row>
    <row r="2">
      <c r="A2" s="4" t="inlineStr">
        <is>
          <t>Service Requests</t>
        </is>
      </c>
      <c r="B2" s="4" t="inlineStr">
        <is>
          <t>Bonafide requests - total</t>
        </is>
      </c>
      <c r="C2" s="17" t="n">
        <v>784</v>
      </c>
      <c r="D2" s="12" t="inlineStr">
        <is>
          <t>A</t>
        </is>
      </c>
      <c r="E2" s="4" t="inlineStr">
        <is>
          <t>Source: MyJKKN production database, read-only query, 2026-10-09</t>
        </is>
      </c>
    </row>
    <row r="3">
      <c r="A3" s="4" t="inlineStr">
        <is>
          <t>Service Requests</t>
        </is>
      </c>
      <c r="B3" s="4" t="inlineStr">
        <is>
          <t>Bonafide - marked fulfilled</t>
        </is>
      </c>
      <c r="C3" s="17" t="n">
        <v>3</v>
      </c>
      <c r="D3" s="12" t="inlineStr">
        <is>
          <t>A</t>
        </is>
      </c>
      <c r="E3" s="4" t="inlineStr">
        <is>
          <t>Source: MyJKKN production database, read-only query, 2026-10-09</t>
        </is>
      </c>
    </row>
    <row r="4">
      <c r="A4" s="4" t="inlineStr">
        <is>
          <t>Service Requests</t>
        </is>
      </c>
      <c r="B4" s="4" t="inlineStr">
        <is>
          <t>Bonafide - approved, never marked fulfilled</t>
        </is>
      </c>
      <c r="C4" s="17" t="n">
        <v>444</v>
      </c>
      <c r="D4" s="12" t="inlineStr">
        <is>
          <t>A</t>
        </is>
      </c>
      <c r="E4" s="4" t="inlineStr">
        <is>
          <t>Source: MyJKKN production database, read-only query, 2026-10-09</t>
        </is>
      </c>
    </row>
    <row r="5">
      <c r="A5" s="4" t="inlineStr">
        <is>
          <t>Service Requests</t>
        </is>
      </c>
      <c r="B5" s="4" t="inlineStr">
        <is>
          <t>Bonafide - approved and open more than 7 days</t>
        </is>
      </c>
      <c r="C5" s="17" t="n">
        <v>422</v>
      </c>
      <c r="D5" s="12" t="inlineStr">
        <is>
          <t>A</t>
        </is>
      </c>
      <c r="E5" s="4" t="inlineStr">
        <is>
          <t>Source: MyJKKN production database, read-only query, 2026-10-09</t>
        </is>
      </c>
    </row>
    <row r="6">
      <c r="A6" s="4" t="inlineStr">
        <is>
          <t>Service Requests</t>
        </is>
      </c>
      <c r="B6" s="4" t="inlineStr">
        <is>
          <t>Bonafide - waiting for approval</t>
        </is>
      </c>
      <c r="C6" s="17" t="n">
        <v>102</v>
      </c>
      <c r="D6" s="12" t="inlineStr">
        <is>
          <t>A</t>
        </is>
      </c>
      <c r="E6" s="4" t="inlineStr">
        <is>
          <t>Source: MyJKKN production database, read-only query, 2026-10-09</t>
        </is>
      </c>
    </row>
    <row r="7">
      <c r="A7" s="4" t="inlineStr">
        <is>
          <t>Service Requests</t>
        </is>
      </c>
      <c r="B7" s="4" t="inlineStr">
        <is>
          <t>Bonafide - waiting for approval more than 7 days</t>
        </is>
      </c>
      <c r="C7" s="17" t="n">
        <v>82</v>
      </c>
      <c r="D7" s="12" t="inlineStr">
        <is>
          <t>A</t>
        </is>
      </c>
      <c r="E7" s="4" t="inlineStr">
        <is>
          <t>Source: MyJKKN production database, read-only query, 2026-10-09</t>
        </is>
      </c>
    </row>
    <row r="8">
      <c r="A8" s="4" t="inlineStr">
        <is>
          <t>Service Requests</t>
        </is>
      </c>
      <c r="B8" s="4" t="inlineStr">
        <is>
          <t>Bonafide - median days, submit to approve</t>
        </is>
      </c>
      <c r="C8" s="17" t="n">
        <v>3</v>
      </c>
      <c r="D8" s="12" t="inlineStr">
        <is>
          <t>A</t>
        </is>
      </c>
      <c r="E8" s="4" t="inlineStr">
        <is>
          <t>Source: MyJKKN production database, read-only query, 2026-10-09</t>
        </is>
      </c>
    </row>
    <row r="9">
      <c r="A9" s="4" t="inlineStr">
        <is>
          <t>Service Requests</t>
        </is>
      </c>
      <c r="B9" s="4" t="inlineStr">
        <is>
          <t>Bonafide - 90th percentile days, submit to approve</t>
        </is>
      </c>
      <c r="C9" s="17" t="n">
        <v>19.6</v>
      </c>
      <c r="D9" s="12" t="inlineStr">
        <is>
          <t>A</t>
        </is>
      </c>
      <c r="E9" s="4" t="inlineStr">
        <is>
          <t>Source: MyJKKN production database, read-only query, 2026-10-09</t>
        </is>
      </c>
    </row>
    <row r="10">
      <c r="A10" s="4" t="inlineStr">
        <is>
          <t>Service Requests</t>
        </is>
      </c>
      <c r="B10" s="4" t="inlineStr">
        <is>
          <t>Transfer Certificate requests - total</t>
        </is>
      </c>
      <c r="C10" s="17" t="n">
        <v>149</v>
      </c>
      <c r="D10" s="12" t="inlineStr">
        <is>
          <t>A</t>
        </is>
      </c>
      <c r="E10" s="4" t="inlineStr">
        <is>
          <t>Source: MyJKKN production database, read-only query, 2026-10-09</t>
        </is>
      </c>
    </row>
    <row r="11">
      <c r="A11" s="4" t="inlineStr">
        <is>
          <t>Service Requests</t>
        </is>
      </c>
      <c r="B11" s="4" t="inlineStr">
        <is>
          <t>Transfer Certificate - marked fulfilled</t>
        </is>
      </c>
      <c r="C11" s="17" t="n">
        <v>0</v>
      </c>
      <c r="D11" s="12" t="inlineStr">
        <is>
          <t>A</t>
        </is>
      </c>
      <c r="E11" s="4" t="inlineStr">
        <is>
          <t>Source: MyJKKN production database, read-only query, 2026-10-09</t>
        </is>
      </c>
    </row>
    <row r="12">
      <c r="A12" s="4" t="inlineStr">
        <is>
          <t>Service Requests</t>
        </is>
      </c>
      <c r="B12" s="4" t="inlineStr">
        <is>
          <t>Transfer Certificate - approved, never marked fulfilled</t>
        </is>
      </c>
      <c r="C12" s="17" t="n">
        <v>94</v>
      </c>
      <c r="D12" s="12" t="inlineStr">
        <is>
          <t>A</t>
        </is>
      </c>
      <c r="E12" s="4" t="inlineStr">
        <is>
          <t>Source: MyJKKN production database, read-only query, 2026-10-09</t>
        </is>
      </c>
    </row>
    <row r="13">
      <c r="A13" s="4" t="inlineStr">
        <is>
          <t>Service Requests</t>
        </is>
      </c>
      <c r="B13" s="4" t="inlineStr">
        <is>
          <t>Transfer Certificate - approved and open more than 7 days</t>
        </is>
      </c>
      <c r="C13" s="17" t="n">
        <v>90</v>
      </c>
      <c r="D13" s="12" t="inlineStr">
        <is>
          <t>A</t>
        </is>
      </c>
      <c r="E13" s="4" t="inlineStr">
        <is>
          <t>Source: MyJKKN production database, read-only query, 2026-10-09</t>
        </is>
      </c>
    </row>
    <row r="14">
      <c r="A14" s="4" t="inlineStr">
        <is>
          <t>Service Requests</t>
        </is>
      </c>
      <c r="B14" s="4" t="inlineStr">
        <is>
          <t>Transfer Certificate - waiting for approval</t>
        </is>
      </c>
      <c r="C14" s="17" t="n">
        <v>39</v>
      </c>
      <c r="D14" s="12" t="inlineStr">
        <is>
          <t>A</t>
        </is>
      </c>
      <c r="E14" s="4" t="inlineStr">
        <is>
          <t>Source: MyJKKN production database, read-only query, 2026-10-09</t>
        </is>
      </c>
    </row>
    <row r="15">
      <c r="A15" s="4" t="inlineStr">
        <is>
          <t>Service Requests</t>
        </is>
      </c>
      <c r="B15" s="4" t="inlineStr">
        <is>
          <t>Transfer Certificate - waiting for approval more than 7 days</t>
        </is>
      </c>
      <c r="C15" s="17" t="n">
        <v>38</v>
      </c>
      <c r="D15" s="12" t="inlineStr">
        <is>
          <t>A</t>
        </is>
      </c>
      <c r="E15" s="4" t="inlineStr">
        <is>
          <t>Source: MyJKKN production database, read-only query, 2026-10-09</t>
        </is>
      </c>
    </row>
    <row r="16">
      <c r="A16" s="4" t="inlineStr">
        <is>
          <t>Service Requests</t>
        </is>
      </c>
      <c r="B16" s="4" t="inlineStr">
        <is>
          <t>Course Completion requests - total</t>
        </is>
      </c>
      <c r="C16" s="17" t="n">
        <v>55</v>
      </c>
      <c r="D16" s="12" t="inlineStr">
        <is>
          <t>A</t>
        </is>
      </c>
      <c r="E16" s="4" t="inlineStr">
        <is>
          <t>Source: MyJKKN production database, read-only query, 2026-10-09</t>
        </is>
      </c>
    </row>
    <row r="17">
      <c r="A17" s="4" t="inlineStr">
        <is>
          <t>Service Requests</t>
        </is>
      </c>
      <c r="B17" s="4" t="inlineStr">
        <is>
          <t>Course Completion - marked fulfilled</t>
        </is>
      </c>
      <c r="C17" s="17" t="n">
        <v>1</v>
      </c>
      <c r="D17" s="12" t="inlineStr">
        <is>
          <t>A</t>
        </is>
      </c>
      <c r="E17" s="4" t="inlineStr">
        <is>
          <t>Source: MyJKKN production database, read-only query, 2026-10-09</t>
        </is>
      </c>
    </row>
    <row r="18">
      <c r="A18" s="4" t="inlineStr">
        <is>
          <t>Service Requests</t>
        </is>
      </c>
      <c r="B18" s="4" t="inlineStr">
        <is>
          <t>Course Completion - approved, never marked fulfilled</t>
        </is>
      </c>
      <c r="C18" s="17" t="n">
        <v>24</v>
      </c>
      <c r="D18" s="12" t="inlineStr">
        <is>
          <t>A</t>
        </is>
      </c>
      <c r="E18" s="4" t="inlineStr">
        <is>
          <t>Source: MyJKKN production database, read-only query, 2026-10-09</t>
        </is>
      </c>
    </row>
    <row r="19">
      <c r="A19" s="4" t="inlineStr">
        <is>
          <t>Service Requests</t>
        </is>
      </c>
      <c r="B19" s="4" t="inlineStr">
        <is>
          <t>Course Completion - approved and open more than 7 days</t>
        </is>
      </c>
      <c r="C19" s="17" t="n">
        <v>24</v>
      </c>
      <c r="D19" s="12" t="inlineStr">
        <is>
          <t>A</t>
        </is>
      </c>
      <c r="E19" s="4" t="inlineStr">
        <is>
          <t>Source: MyJKKN production database, read-only query, 2026-10-09</t>
        </is>
      </c>
    </row>
    <row r="20">
      <c r="A20" s="4" t="inlineStr">
        <is>
          <t>Service Requests</t>
        </is>
      </c>
      <c r="B20" s="4" t="inlineStr">
        <is>
          <t>Course Completion - waiting for approval</t>
        </is>
      </c>
      <c r="C20" s="17" t="n">
        <v>14</v>
      </c>
      <c r="D20" s="12" t="inlineStr">
        <is>
          <t>A</t>
        </is>
      </c>
      <c r="E20" s="4" t="inlineStr">
        <is>
          <t>Source: MyJKKN production database, read-only query, 2026-10-09</t>
        </is>
      </c>
    </row>
    <row r="21">
      <c r="A21" s="4" t="inlineStr">
        <is>
          <t>Service Requests</t>
        </is>
      </c>
      <c r="B21" s="4" t="inlineStr">
        <is>
          <t>Course Completion - waiting for approval more than 7 days</t>
        </is>
      </c>
      <c r="C21" s="17" t="n">
        <v>14</v>
      </c>
      <c r="D21" s="12" t="inlineStr">
        <is>
          <t>A</t>
        </is>
      </c>
      <c r="E21" s="4" t="inlineStr">
        <is>
          <t>Source: MyJKKN production database, read-only query, 2026-10-09</t>
        </is>
      </c>
    </row>
    <row r="22">
      <c r="A22" s="4" t="inlineStr">
        <is>
          <t>Service Requests</t>
        </is>
      </c>
      <c r="B22" s="4" t="inlineStr">
        <is>
          <t>Service types with certificate PDF enabled (one is a test type)</t>
        </is>
      </c>
      <c r="C22" s="17" t="n">
        <v>2</v>
      </c>
      <c r="D22" s="12" t="inlineStr">
        <is>
          <t>A</t>
        </is>
      </c>
      <c r="E22" s="4" t="inlineStr">
        <is>
          <t>Source: MyJKKN production database, read-only query, 2026-10-09</t>
        </is>
      </c>
    </row>
    <row r="23">
      <c r="A23" s="4" t="inlineStr">
        <is>
          <t>Service Requests</t>
        </is>
      </c>
      <c r="B23" s="4" t="inlineStr">
        <is>
          <t>Service types for transcript / mark sheet / provisional certificate</t>
        </is>
      </c>
      <c r="C23" s="17" t="n">
        <v>0</v>
      </c>
      <c r="D23" s="12" t="inlineStr">
        <is>
          <t>A</t>
        </is>
      </c>
      <c r="E23" s="4" t="inlineStr">
        <is>
          <t>Source: MyJKKN production database, read-only query, 2026-10-09</t>
        </is>
      </c>
    </row>
    <row r="24">
      <c r="A24" s="4" t="inlineStr">
        <is>
          <t>Inventory</t>
        </is>
      </c>
      <c r="B24" s="4" t="inlineStr">
        <is>
          <t>Items - total</t>
        </is>
      </c>
      <c r="C24" s="17" t="n">
        <v>1006</v>
      </c>
      <c r="D24" s="12" t="inlineStr">
        <is>
          <t>E, F</t>
        </is>
      </c>
      <c r="E24" s="4" t="inlineStr">
        <is>
          <t>Source: MyJKKN production database, read-only query, 2026-10-09</t>
        </is>
      </c>
    </row>
    <row r="25">
      <c r="A25" s="4" t="inlineStr">
        <is>
          <t>Inventory</t>
        </is>
      </c>
      <c r="B25" s="4" t="inlineStr">
        <is>
          <t>Items with expiry tracking switched on</t>
        </is>
      </c>
      <c r="C25" s="17" t="n">
        <v>59</v>
      </c>
      <c r="D25" s="12" t="inlineStr">
        <is>
          <t>E, F</t>
        </is>
      </c>
      <c r="E25" s="4" t="inlineStr">
        <is>
          <t>Source: MyJKKN production database, read-only query, 2026-10-09</t>
        </is>
      </c>
    </row>
    <row r="26">
      <c r="A26" s="4" t="inlineStr">
        <is>
          <t>Inventory</t>
        </is>
      </c>
      <c r="B26" s="4" t="inlineStr">
        <is>
          <t>Stock batches - total</t>
        </is>
      </c>
      <c r="C26" s="17" t="n">
        <v>249</v>
      </c>
      <c r="D26" s="12" t="inlineStr">
        <is>
          <t>E, F</t>
        </is>
      </c>
      <c r="E26" s="4" t="inlineStr">
        <is>
          <t>Source: MyJKKN production database, read-only query, 2026-10-09</t>
        </is>
      </c>
    </row>
    <row r="27">
      <c r="A27" s="4" t="inlineStr">
        <is>
          <t>Inventory</t>
        </is>
      </c>
      <c r="B27" s="4" t="inlineStr">
        <is>
          <t>Stock batches with an expiry date</t>
        </is>
      </c>
      <c r="C27" s="17" t="n">
        <v>23</v>
      </c>
      <c r="D27" s="12" t="inlineStr">
        <is>
          <t>E, F</t>
        </is>
      </c>
      <c r="E27" s="4" t="inlineStr">
        <is>
          <t>Source: MyJKKN production database, read-only query, 2026-10-09</t>
        </is>
      </c>
    </row>
    <row r="28">
      <c r="A28" s="4" t="inlineStr">
        <is>
          <t>Inventory</t>
        </is>
      </c>
      <c r="B28" s="4" t="inlineStr">
        <is>
          <t>Dental Student Store - batches</t>
        </is>
      </c>
      <c r="C28" s="17" t="n">
        <v>56</v>
      </c>
      <c r="D28" s="12" t="inlineStr">
        <is>
          <t>E</t>
        </is>
      </c>
      <c r="E28" s="4" t="inlineStr">
        <is>
          <t>Source: MyJKKN production database, read-only query, 2026-10-09</t>
        </is>
      </c>
    </row>
    <row r="29">
      <c r="A29" s="4" t="inlineStr">
        <is>
          <t>Inventory</t>
        </is>
      </c>
      <c r="B29" s="4" t="inlineStr">
        <is>
          <t>Dental Student Store - batches with an expiry date</t>
        </is>
      </c>
      <c r="C29" s="17" t="n">
        <v>0</v>
      </c>
      <c r="D29" s="12" t="inlineStr">
        <is>
          <t>E</t>
        </is>
      </c>
      <c r="E29" s="4" t="inlineStr">
        <is>
          <t>Source: MyJKKN production database, read-only query, 2026-10-09</t>
        </is>
      </c>
    </row>
    <row r="30">
      <c r="A30" s="4" t="inlineStr">
        <is>
          <t>Inventory</t>
        </is>
      </c>
      <c r="B30" s="4" t="inlineStr">
        <is>
          <t>JKKN Pharmacy store - batches</t>
        </is>
      </c>
      <c r="C30" s="17" t="n">
        <v>87</v>
      </c>
      <c r="D30" s="12" t="inlineStr">
        <is>
          <t>F</t>
        </is>
      </c>
      <c r="E30" s="4" t="inlineStr">
        <is>
          <t>Source: MyJKKN production database, read-only query, 2026-10-09</t>
        </is>
      </c>
    </row>
    <row r="31">
      <c r="A31" s="4" t="inlineStr">
        <is>
          <t>Inventory</t>
        </is>
      </c>
      <c r="B31" s="4" t="inlineStr">
        <is>
          <t>JKKN Pharmacy store - batches with an expiry date</t>
        </is>
      </c>
      <c r="C31" s="17" t="n">
        <v>22</v>
      </c>
      <c r="D31" s="12" t="inlineStr">
        <is>
          <t>F</t>
        </is>
      </c>
      <c r="E31" s="4" t="inlineStr">
        <is>
          <t>Source: MyJKKN production database, read-only query, 2026-10-09</t>
        </is>
      </c>
    </row>
    <row r="32">
      <c r="A32" s="4" t="inlineStr">
        <is>
          <t>Inventory</t>
        </is>
      </c>
      <c r="B32" s="4" t="inlineStr">
        <is>
          <t>JKKN Pharmacy store - batches already past expiry</t>
        </is>
      </c>
      <c r="C32" s="17" t="n">
        <v>3</v>
      </c>
      <c r="D32" s="12" t="inlineStr">
        <is>
          <t>F</t>
        </is>
      </c>
      <c r="E32" s="4" t="inlineStr">
        <is>
          <t>Source: MyJKKN production database, read-only query, 2026-10-09</t>
        </is>
      </c>
    </row>
    <row r="33">
      <c r="A33" s="4" t="inlineStr">
        <is>
          <t>Procurement</t>
        </is>
      </c>
      <c r="B33" s="4" t="inlineStr">
        <is>
          <t>Purchase requests - total</t>
        </is>
      </c>
      <c r="C33" s="17" t="n">
        <v>38</v>
      </c>
      <c r="D33" s="12" t="inlineStr">
        <is>
          <t>J</t>
        </is>
      </c>
      <c r="E33" s="4" t="inlineStr">
        <is>
          <t>Source: MyJKKN production database, read-only query, 2026-10-09</t>
        </is>
      </c>
    </row>
    <row r="34">
      <c r="A34" s="4" t="inlineStr">
        <is>
          <t>Procurement</t>
        </is>
      </c>
      <c r="B34" s="4" t="inlineStr">
        <is>
          <t>Purchase requests - last 90 days</t>
        </is>
      </c>
      <c r="C34" s="17" t="n">
        <v>37</v>
      </c>
      <c r="D34" s="12" t="inlineStr">
        <is>
          <t>J</t>
        </is>
      </c>
      <c r="E34" s="4" t="inlineStr">
        <is>
          <t>Source: MyJKKN production database, read-only query, 2026-10-09</t>
        </is>
      </c>
    </row>
    <row r="35">
      <c r="A35" s="4" t="inlineStr">
        <is>
          <t>Procurement</t>
        </is>
      </c>
      <c r="B35" s="4" t="inlineStr">
        <is>
          <t>Purchase requests - converted</t>
        </is>
      </c>
      <c r="C35" s="17" t="n">
        <v>31</v>
      </c>
      <c r="D35" s="12" t="inlineStr">
        <is>
          <t>J</t>
        </is>
      </c>
      <c r="E35" s="4" t="inlineStr">
        <is>
          <t>Source: MyJKKN production database, read-only query, 2026-10-09</t>
        </is>
      </c>
    </row>
    <row r="36">
      <c r="A36" s="4" t="inlineStr">
        <is>
          <t>Procurement</t>
        </is>
      </c>
      <c r="B36" s="4" t="inlineStr">
        <is>
          <t>Purchase requests - awaiting approval</t>
        </is>
      </c>
      <c r="C36" s="17" t="n">
        <v>7</v>
      </c>
      <c r="D36" s="12" t="inlineStr">
        <is>
          <t>J</t>
        </is>
      </c>
      <c r="E36" s="4" t="inlineStr">
        <is>
          <t>Source: MyJKKN production database, read-only query, 2026-10-09</t>
        </is>
      </c>
    </row>
    <row r="37">
      <c r="A37" s="4" t="inlineStr">
        <is>
          <t>Procurement</t>
        </is>
      </c>
      <c r="B37" s="4" t="inlineStr">
        <is>
          <t>RFQs</t>
        </is>
      </c>
      <c r="C37" s="17" t="n">
        <v>31</v>
      </c>
      <c r="D37" s="12" t="inlineStr">
        <is>
          <t>J</t>
        </is>
      </c>
      <c r="E37" s="4" t="inlineStr">
        <is>
          <t>Source: MyJKKN production database, read-only query, 2026-10-09</t>
        </is>
      </c>
    </row>
    <row r="38">
      <c r="A38" s="4" t="inlineStr">
        <is>
          <t>Procurement</t>
        </is>
      </c>
      <c r="B38" s="4" t="inlineStr">
        <is>
          <t>Quotations</t>
        </is>
      </c>
      <c r="C38" s="17" t="n">
        <v>36</v>
      </c>
      <c r="D38" s="12" t="inlineStr">
        <is>
          <t>J</t>
        </is>
      </c>
      <c r="E38" s="4" t="inlineStr">
        <is>
          <t>Source: MyJKKN production database, read-only query, 2026-10-09</t>
        </is>
      </c>
    </row>
    <row r="39">
      <c r="A39" s="4" t="inlineStr">
        <is>
          <t>Procurement</t>
        </is>
      </c>
      <c r="B39" s="4" t="inlineStr">
        <is>
          <t>Purchase orders</t>
        </is>
      </c>
      <c r="C39" s="17" t="n">
        <v>15</v>
      </c>
      <c r="D39" s="12" t="inlineStr">
        <is>
          <t>J</t>
        </is>
      </c>
      <c r="E39" s="4" t="inlineStr">
        <is>
          <t>Source: MyJKKN production database, read-only query, 2026-10-09</t>
        </is>
      </c>
    </row>
    <row r="40">
      <c r="A40" s="4" t="inlineStr">
        <is>
          <t>Procurement</t>
        </is>
      </c>
      <c r="B40" s="4" t="inlineStr">
        <is>
          <t>Goods receipts (GRN)</t>
        </is>
      </c>
      <c r="C40" s="17" t="n">
        <v>0</v>
      </c>
      <c r="D40" s="12" t="inlineStr">
        <is>
          <t>J</t>
        </is>
      </c>
      <c r="E40" s="4" t="inlineStr">
        <is>
          <t>Source: MyJKKN production database, read-only query, 2026-10-09</t>
        </is>
      </c>
    </row>
    <row r="41">
      <c r="A41" s="4" t="inlineStr">
        <is>
          <t>Procurement</t>
        </is>
      </c>
      <c r="B41" s="4" t="inlineStr">
        <is>
          <t>Vendor ratings</t>
        </is>
      </c>
      <c r="C41" s="17" t="n">
        <v>0</v>
      </c>
      <c r="D41" s="12" t="inlineStr">
        <is>
          <t>J</t>
        </is>
      </c>
      <c r="E41" s="4" t="inlineStr">
        <is>
          <t>Source: MyJKKN production database, read-only query, 2026-10-09</t>
        </is>
      </c>
    </row>
    <row r="42">
      <c r="A42" s="4" t="inlineStr">
        <is>
          <t>Resource Management</t>
        </is>
      </c>
      <c r="B42" s="4" t="inlineStr">
        <is>
          <t>Maintenance schedules</t>
        </is>
      </c>
      <c r="C42" s="17" t="n">
        <v>97</v>
      </c>
      <c r="D42" s="12" t="inlineStr">
        <is>
          <t>G</t>
        </is>
      </c>
      <c r="E42" s="4" t="inlineStr">
        <is>
          <t>Source: MyJKKN production database, read-only query, 2026-10-09</t>
        </is>
      </c>
    </row>
    <row r="43">
      <c r="A43" s="4" t="inlineStr">
        <is>
          <t>Resource Management</t>
        </is>
      </c>
      <c r="B43" s="4" t="inlineStr">
        <is>
          <t>Maintenance logs</t>
        </is>
      </c>
      <c r="C43" s="17" t="n">
        <v>90</v>
      </c>
      <c r="D43" s="12" t="inlineStr">
        <is>
          <t>G</t>
        </is>
      </c>
      <c r="E43" s="4" t="inlineStr">
        <is>
          <t>Source: MyJKKN production database, read-only query, 2026-10-09</t>
        </is>
      </c>
    </row>
    <row r="45">
      <c r="B45" s="13" t="inlineStr">
        <is>
          <t>Certificate requests - total (Bonafide + TC + Course Completion)</t>
        </is>
      </c>
      <c r="C45" s="13">
        <f>C2+C10+C16</f>
        <v/>
      </c>
    </row>
    <row r="46">
      <c r="B46" s="13" t="inlineStr">
        <is>
          <t>Certificate requests - marked fulfilled</t>
        </is>
      </c>
      <c r="C46" s="13">
        <f>C3+C11+C17</f>
        <v/>
      </c>
    </row>
    <row r="47">
      <c r="B47" s="13" t="inlineStr">
        <is>
          <t>Certificate requests - approved, never marked fulfilled</t>
        </is>
      </c>
      <c r="C47" s="13">
        <f>C4+C12+C18</f>
        <v/>
      </c>
    </row>
    <row r="48">
      <c r="B48" s="13" t="inlineStr">
        <is>
          <t>Certificate requests - approved and open more than 7 days</t>
        </is>
      </c>
      <c r="C48" s="13">
        <f>C5+C13+C19</f>
        <v/>
      </c>
    </row>
    <row r="49">
      <c r="B49" s="13" t="inlineStr">
        <is>
          <t>Certificate requests - waiting for approval more than 7 days</t>
        </is>
      </c>
      <c r="C49" s="13">
        <f>C7+C15+C21</f>
        <v/>
      </c>
    </row>
  </sheetData>
  <autoFilter ref="A1:E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2026-10-09T06:17:09Z</dcterms:created>
  <dcterms:modified xmlns:dcterms="http://purl.org/dc/terms/" xmlns:xsi="http://www.w3.org/2001/XMLSchema-instance" xsi:type="dcterms:W3CDTF">2026-10-09T06:17:09Z</dcterms:modified>
</cp:coreProperties>
</file>